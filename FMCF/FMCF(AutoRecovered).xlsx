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trlProps/ctrlProp16.xml" ContentType="application/vnd.ms-excel.controlproperties+xml"/>
  <Override PartName="/xl/drawings/drawing6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drawings/drawing7.xml" ContentType="application/vnd.openxmlformats-officedocument.drawing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11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1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2241A18-F086-4073-B1FD-B4D14D0D10D5}" xr6:coauthVersionLast="36" xr6:coauthVersionMax="36" xr10:uidLastSave="{00000000-0000-0000-0000-000000000000}"/>
  <bookViews>
    <workbookView xWindow="0" yWindow="0" windowWidth="11592" windowHeight="6852" activeTab="13" xr2:uid="{A1B2E10D-3061-43B7-8964-FB60989BA03F}"/>
  </bookViews>
  <sheets>
    <sheet name="Sc 1" sheetId="15" r:id="rId1"/>
    <sheet name="Sc 2" sheetId="1" r:id="rId2"/>
    <sheet name="Sc 3" sheetId="16" r:id="rId3"/>
    <sheet name="Sc 4" sheetId="17" r:id="rId4"/>
    <sheet name="Sc 5" sheetId="13" r:id="rId5"/>
    <sheet name="Sc 6" sheetId="14" r:id="rId6"/>
    <sheet name="Sc 7" sheetId="2" r:id="rId7"/>
    <sheet name="Sc 8" sheetId="18" r:id="rId8"/>
    <sheet name="Sc 9" sheetId="20" r:id="rId9"/>
    <sheet name="Sc 10" sheetId="8" r:id="rId10"/>
    <sheet name="Sc 11" sheetId="9" r:id="rId11"/>
    <sheet name="Sc 12" sheetId="10" r:id="rId12"/>
    <sheet name="Sc 13" sheetId="11" r:id="rId13"/>
    <sheet name="Sc 14" sheetId="12" r:id="rId14"/>
  </sheets>
  <externalReferences>
    <externalReference r:id="rId15"/>
    <externalReference r:id="rId16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8" l="1"/>
  <c r="B7" i="18"/>
  <c r="B22" i="20"/>
  <c r="B28" i="20" s="1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13" i="20"/>
  <c r="B23" i="20" l="1"/>
  <c r="C20" i="20" s="1"/>
  <c r="C22" i="20" s="1"/>
  <c r="B14" i="20"/>
  <c r="B34" i="20" l="1"/>
  <c r="C28" i="20"/>
  <c r="C23" i="20"/>
  <c r="C34" i="20" l="1"/>
  <c r="D20" i="20"/>
  <c r="D22" i="20" l="1"/>
  <c r="D28" i="20" l="1"/>
  <c r="D23" i="20"/>
  <c r="D34" i="20" l="1"/>
  <c r="E20" i="20"/>
  <c r="E22" i="20" l="1"/>
  <c r="E28" i="20" l="1"/>
  <c r="E23" i="20"/>
  <c r="E34" i="20" l="1"/>
  <c r="F20" i="20"/>
  <c r="F22" i="20" l="1"/>
  <c r="F28" i="20" l="1"/>
  <c r="F23" i="20"/>
  <c r="F34" i="20" l="1"/>
  <c r="G20" i="20"/>
  <c r="G22" i="20" l="1"/>
  <c r="G28" i="20" l="1"/>
  <c r="G23" i="20"/>
  <c r="G34" i="20" l="1"/>
  <c r="H20" i="20"/>
  <c r="H22" i="20" l="1"/>
  <c r="H23" i="20" l="1"/>
  <c r="H28" i="20"/>
  <c r="H34" i="20" l="1"/>
  <c r="I20" i="20"/>
  <c r="I22" i="20" l="1"/>
  <c r="I23" i="20" l="1"/>
  <c r="I28" i="20"/>
  <c r="I34" i="20" l="1"/>
  <c r="J20" i="20"/>
  <c r="J22" i="20" l="1"/>
  <c r="J23" i="20" l="1"/>
  <c r="J28" i="20"/>
  <c r="J34" i="20" l="1"/>
  <c r="K20" i="20"/>
  <c r="K22" i="20" l="1"/>
  <c r="K28" i="20" l="1"/>
  <c r="K23" i="20"/>
  <c r="K34" i="20" l="1"/>
  <c r="L20" i="20"/>
  <c r="L22" i="20" l="1"/>
  <c r="L28" i="20" l="1"/>
  <c r="L23" i="20"/>
  <c r="L34" i="20" l="1"/>
  <c r="M20" i="20"/>
  <c r="M22" i="20" l="1"/>
  <c r="M28" i="20" l="1"/>
  <c r="M23" i="20"/>
  <c r="M34" i="20" l="1"/>
  <c r="N20" i="20"/>
  <c r="B26" i="11"/>
  <c r="B6" i="18"/>
  <c r="B15" i="18" s="1"/>
  <c r="B11" i="18"/>
  <c r="B22" i="18"/>
  <c r="B27" i="18" l="1"/>
  <c r="B33" i="18"/>
  <c r="B16" i="18"/>
  <c r="J16" i="18"/>
  <c r="N22" i="20"/>
  <c r="K16" i="18"/>
  <c r="C16" i="18"/>
  <c r="U16" i="18"/>
  <c r="M16" i="18"/>
  <c r="T16" i="18"/>
  <c r="L16" i="18"/>
  <c r="H16" i="18"/>
  <c r="S16" i="18"/>
  <c r="I16" i="18"/>
  <c r="R16" i="18"/>
  <c r="Q16" i="18"/>
  <c r="E16" i="18"/>
  <c r="B31" i="18"/>
  <c r="P16" i="18"/>
  <c r="D16" i="18"/>
  <c r="O16" i="18"/>
  <c r="G16" i="18"/>
  <c r="N16" i="18"/>
  <c r="F16" i="18"/>
  <c r="I32" i="18"/>
  <c r="G32" i="18"/>
  <c r="L32" i="18"/>
  <c r="F32" i="18"/>
  <c r="N32" i="18"/>
  <c r="O32" i="18"/>
  <c r="M32" i="18"/>
  <c r="E32" i="18"/>
  <c r="D32" i="18"/>
  <c r="B17" i="18"/>
  <c r="P32" i="18"/>
  <c r="H32" i="18"/>
  <c r="K32" i="18"/>
  <c r="C32" i="18"/>
  <c r="J32" i="18"/>
  <c r="B32" i="18"/>
  <c r="B18" i="18" l="1"/>
  <c r="C15" i="18" s="1"/>
  <c r="N28" i="20"/>
  <c r="N23" i="20"/>
  <c r="W16" i="18"/>
  <c r="B34" i="18"/>
  <c r="R32" i="18"/>
  <c r="N34" i="20" l="1"/>
  <c r="O20" i="20"/>
  <c r="C17" i="18"/>
  <c r="C31" i="18"/>
  <c r="O22" i="20" l="1"/>
  <c r="C33" i="18"/>
  <c r="C18" i="18"/>
  <c r="O28" i="20" l="1"/>
  <c r="O23" i="20"/>
  <c r="D15" i="18"/>
  <c r="C34" i="18"/>
  <c r="O34" i="20" l="1"/>
  <c r="P20" i="20"/>
  <c r="D31" i="18"/>
  <c r="D17" i="18"/>
  <c r="P22" i="20" l="1"/>
  <c r="D18" i="18"/>
  <c r="D33" i="18"/>
  <c r="P23" i="20" l="1"/>
  <c r="P28" i="20"/>
  <c r="D34" i="18"/>
  <c r="E15" i="18"/>
  <c r="P34" i="20" l="1"/>
  <c r="Q20" i="20"/>
  <c r="E17" i="18"/>
  <c r="E31" i="18"/>
  <c r="Q22" i="20" l="1"/>
  <c r="E18" i="18"/>
  <c r="E33" i="18"/>
  <c r="Q23" i="20" l="1"/>
  <c r="Q28" i="20"/>
  <c r="E34" i="18"/>
  <c r="F15" i="18"/>
  <c r="Q34" i="20" l="1"/>
  <c r="R20" i="20"/>
  <c r="F31" i="18"/>
  <c r="F17" i="18"/>
  <c r="F18" i="18" s="1"/>
  <c r="G15" i="18" s="1"/>
  <c r="R22" i="20" l="1"/>
  <c r="G17" i="18"/>
  <c r="G18" i="18" s="1"/>
  <c r="H15" i="18" s="1"/>
  <c r="F33" i="18"/>
  <c r="F34" i="18" s="1"/>
  <c r="R23" i="20" l="1"/>
  <c r="R28" i="20"/>
  <c r="G31" i="18"/>
  <c r="H17" i="18"/>
  <c r="H18" i="18" s="1"/>
  <c r="I15" i="18" s="1"/>
  <c r="R34" i="20" l="1"/>
  <c r="S20" i="20"/>
  <c r="I17" i="18"/>
  <c r="I18" i="18" s="1"/>
  <c r="J15" i="18" s="1"/>
  <c r="G33" i="18"/>
  <c r="G34" i="18" s="1"/>
  <c r="H31" i="18" s="1"/>
  <c r="S22" i="20" l="1"/>
  <c r="H33" i="18"/>
  <c r="H34" i="18" s="1"/>
  <c r="I31" i="18" s="1"/>
  <c r="J17" i="18"/>
  <c r="J18" i="18" s="1"/>
  <c r="K15" i="18" s="1"/>
  <c r="S28" i="20" l="1"/>
  <c r="S23" i="20"/>
  <c r="I33" i="18"/>
  <c r="I34" i="18" s="1"/>
  <c r="J31" i="18" s="1"/>
  <c r="K17" i="18"/>
  <c r="K18" i="18" s="1"/>
  <c r="L15" i="18" s="1"/>
  <c r="S34" i="20" l="1"/>
  <c r="T20" i="20"/>
  <c r="J33" i="18"/>
  <c r="J34" i="18" s="1"/>
  <c r="K31" i="18" s="1"/>
  <c r="L17" i="18"/>
  <c r="L18" i="18" s="1"/>
  <c r="M15" i="18" s="1"/>
  <c r="T22" i="20" l="1"/>
  <c r="K33" i="18"/>
  <c r="K34" i="18" s="1"/>
  <c r="L31" i="18" s="1"/>
  <c r="M17" i="18"/>
  <c r="M18" i="18" s="1"/>
  <c r="N15" i="18" s="1"/>
  <c r="T28" i="20" l="1"/>
  <c r="T23" i="20"/>
  <c r="L33" i="18"/>
  <c r="L34" i="18" s="1"/>
  <c r="M31" i="18" s="1"/>
  <c r="N17" i="18"/>
  <c r="N18" i="18" s="1"/>
  <c r="O15" i="18" s="1"/>
  <c r="T34" i="20" l="1"/>
  <c r="U20" i="20"/>
  <c r="O17" i="18"/>
  <c r="O18" i="18" s="1"/>
  <c r="P15" i="18" s="1"/>
  <c r="M33" i="18"/>
  <c r="M34" i="18" s="1"/>
  <c r="N31" i="18" s="1"/>
  <c r="U22" i="20" l="1"/>
  <c r="P17" i="18"/>
  <c r="P18" i="18" s="1"/>
  <c r="Q15" i="18" s="1"/>
  <c r="N33" i="18"/>
  <c r="N34" i="18" s="1"/>
  <c r="O31" i="18" s="1"/>
  <c r="U28" i="20" l="1"/>
  <c r="U23" i="20"/>
  <c r="Q17" i="18"/>
  <c r="Q18" i="18" s="1"/>
  <c r="R15" i="18" s="1"/>
  <c r="O33" i="18"/>
  <c r="O34" i="18" s="1"/>
  <c r="P31" i="18" s="1"/>
  <c r="P33" i="18" s="1"/>
  <c r="U34" i="20" l="1"/>
  <c r="V20" i="20"/>
  <c r="R17" i="18"/>
  <c r="R18" i="18" s="1"/>
  <c r="S15" i="18" s="1"/>
  <c r="P34" i="18"/>
  <c r="R34" i="18" s="1"/>
  <c r="R33" i="18"/>
  <c r="V22" i="20" l="1"/>
  <c r="S17" i="18"/>
  <c r="S18" i="18" s="1"/>
  <c r="T15" i="18" s="1"/>
  <c r="V28" i="20" l="1"/>
  <c r="V23" i="20"/>
  <c r="T17" i="18"/>
  <c r="T18" i="18" s="1"/>
  <c r="U15" i="18" s="1"/>
  <c r="U17" i="18" s="1"/>
  <c r="V34" i="20" l="1"/>
  <c r="W20" i="20"/>
  <c r="U18" i="18"/>
  <c r="W18" i="18" s="1"/>
  <c r="W17" i="18"/>
  <c r="W22" i="20" l="1"/>
  <c r="W28" i="20" l="1"/>
  <c r="W23" i="20"/>
  <c r="W34" i="20" l="1"/>
  <c r="X20" i="20"/>
  <c r="X22" i="20" l="1"/>
  <c r="X23" i="20" l="1"/>
  <c r="X28" i="20"/>
  <c r="X34" i="20" l="1"/>
  <c r="Y20" i="20"/>
  <c r="Y22" i="20" l="1"/>
  <c r="Y23" i="20" l="1"/>
  <c r="Y28" i="20"/>
  <c r="Y34" i="20" l="1"/>
  <c r="Z20" i="20"/>
  <c r="Z22" i="20" l="1"/>
  <c r="Z23" i="20" l="1"/>
  <c r="Z28" i="20"/>
  <c r="Z34" i="20" l="1"/>
  <c r="AA20" i="20"/>
  <c r="AA22" i="20" l="1"/>
  <c r="AA28" i="20" l="1"/>
  <c r="AA23" i="20"/>
  <c r="AA34" i="20" l="1"/>
  <c r="AB20" i="20"/>
  <c r="AB22" i="20" l="1"/>
  <c r="AB28" i="20" l="1"/>
  <c r="AB23" i="20"/>
  <c r="AB34" i="20" l="1"/>
  <c r="AC20" i="20"/>
  <c r="AC22" i="20" l="1"/>
  <c r="AC28" i="20" l="1"/>
  <c r="AC23" i="20"/>
  <c r="AC34" i="20" l="1"/>
  <c r="AD20" i="20"/>
  <c r="AD22" i="20" l="1"/>
  <c r="AD28" i="20" l="1"/>
  <c r="AD23" i="20"/>
  <c r="AD34" i="20" l="1"/>
  <c r="AE20" i="20"/>
  <c r="AE22" i="20" l="1"/>
  <c r="AE28" i="20" l="1"/>
  <c r="AE23" i="20"/>
  <c r="AE34" i="20" l="1"/>
  <c r="AF20" i="20"/>
  <c r="B11" i="1" l="1"/>
  <c r="B6" i="1"/>
  <c r="C20" i="1" s="1"/>
  <c r="B4" i="13"/>
  <c r="H12" i="1" l="1"/>
  <c r="C17" i="1"/>
  <c r="B5" i="2"/>
  <c r="B6" i="14"/>
  <c r="B5" i="14"/>
  <c r="B4" i="14"/>
  <c r="N10" i="17"/>
  <c r="F10" i="17"/>
  <c r="F11" i="17" s="1"/>
  <c r="N11" i="17" s="1"/>
  <c r="E10" i="17"/>
  <c r="M10" i="17" s="1"/>
  <c r="D10" i="17"/>
  <c r="L10" i="17" s="1"/>
  <c r="B6" i="17"/>
  <c r="B17" i="17" s="1"/>
  <c r="B4" i="17"/>
  <c r="C10" i="17" s="1"/>
  <c r="B17" i="16"/>
  <c r="E10" i="16"/>
  <c r="E11" i="16" s="1"/>
  <c r="B6" i="16"/>
  <c r="B4" i="16"/>
  <c r="B14" i="16" s="1"/>
  <c r="F11" i="15"/>
  <c r="B6" i="15"/>
  <c r="B18" i="15" s="1"/>
  <c r="F12" i="15" l="1"/>
  <c r="G12" i="15" s="1"/>
  <c r="K10" i="17"/>
  <c r="C11" i="17"/>
  <c r="K11" i="17" s="1"/>
  <c r="E11" i="17"/>
  <c r="M11" i="17" s="1"/>
  <c r="D11" i="17"/>
  <c r="L11" i="17" s="1"/>
  <c r="B10" i="17"/>
  <c r="B14" i="17"/>
  <c r="F10" i="16"/>
  <c r="F11" i="16" s="1"/>
  <c r="G10" i="16"/>
  <c r="G11" i="16" s="1"/>
  <c r="H10" i="16"/>
  <c r="H11" i="16" s="1"/>
  <c r="I10" i="16"/>
  <c r="I11" i="16" s="1"/>
  <c r="B10" i="16"/>
  <c r="C10" i="16"/>
  <c r="C11" i="16" s="1"/>
  <c r="D10" i="16"/>
  <c r="D11" i="16" s="1"/>
  <c r="G11" i="15"/>
  <c r="B15" i="15"/>
  <c r="B11" i="17" l="1"/>
  <c r="J10" i="17"/>
  <c r="G10" i="17"/>
  <c r="O10" i="17" s="1"/>
  <c r="B11" i="16"/>
  <c r="J11" i="16" s="1"/>
  <c r="J10" i="16"/>
  <c r="J11" i="17" l="1"/>
  <c r="G11" i="17"/>
  <c r="O11" i="17" s="1"/>
  <c r="B14" i="14" l="1"/>
  <c r="F14" i="14"/>
  <c r="B13" i="13"/>
  <c r="G9" i="13"/>
  <c r="F9" i="13"/>
  <c r="E9" i="13"/>
  <c r="D9" i="13"/>
  <c r="C9" i="13"/>
  <c r="B9" i="13"/>
  <c r="B10" i="13" l="1"/>
  <c r="C14" i="14"/>
  <c r="G14" i="14"/>
  <c r="E14" i="14"/>
  <c r="B18" i="14"/>
  <c r="D14" i="14"/>
  <c r="B15" i="14" l="1"/>
  <c r="B9" i="12"/>
  <c r="B14" i="12" s="1"/>
  <c r="B8" i="12"/>
  <c r="B32" i="12" s="1"/>
  <c r="B7" i="12"/>
  <c r="B13" i="12" s="1"/>
  <c r="B6" i="12"/>
  <c r="G5" i="12"/>
  <c r="B5" i="12"/>
  <c r="G4" i="12"/>
  <c r="D4" i="12"/>
  <c r="B8" i="11"/>
  <c r="B32" i="11" s="1"/>
  <c r="B7" i="11"/>
  <c r="B6" i="11"/>
  <c r="B13" i="11" s="1"/>
  <c r="G5" i="11"/>
  <c r="B9" i="11" s="1"/>
  <c r="B5" i="11"/>
  <c r="B14" i="11" s="1"/>
  <c r="G4" i="11"/>
  <c r="D4" i="11"/>
  <c r="B15" i="9"/>
  <c r="B10" i="9"/>
  <c r="B9" i="9"/>
  <c r="B8" i="9"/>
  <c r="G7" i="9"/>
  <c r="B11" i="9" s="1"/>
  <c r="B34" i="9" s="1"/>
  <c r="B7" i="9"/>
  <c r="B16" i="9" s="1"/>
  <c r="G6" i="9"/>
  <c r="D6" i="9"/>
  <c r="F11" i="8"/>
  <c r="F12" i="8" s="1"/>
  <c r="F13" i="8" s="1"/>
  <c r="D11" i="8"/>
  <c r="D12" i="8" s="1"/>
  <c r="D13" i="8" s="1"/>
  <c r="C11" i="8"/>
  <c r="C12" i="8" s="1"/>
  <c r="C13" i="8" s="1"/>
  <c r="B7" i="8"/>
  <c r="B6" i="8"/>
  <c r="B5" i="8"/>
  <c r="H11" i="8" s="1"/>
  <c r="H12" i="8" s="1"/>
  <c r="H13" i="8" s="1"/>
  <c r="B4" i="8"/>
  <c r="G21" i="12" l="1"/>
  <c r="K21" i="12"/>
  <c r="E21" i="12"/>
  <c r="H21" i="12"/>
  <c r="D21" i="12"/>
  <c r="F21" i="12"/>
  <c r="I21" i="12"/>
  <c r="J21" i="12"/>
  <c r="L21" i="12"/>
  <c r="C21" i="12"/>
  <c r="K11" i="8"/>
  <c r="K12" i="8" s="1"/>
  <c r="K13" i="8" s="1"/>
  <c r="I11" i="8"/>
  <c r="I12" i="8" s="1"/>
  <c r="I13" i="8" s="1"/>
  <c r="J11" i="8"/>
  <c r="J12" i="8" s="1"/>
  <c r="J13" i="8" s="1"/>
  <c r="L11" i="8"/>
  <c r="B22" i="8"/>
  <c r="L12" i="8"/>
  <c r="L13" i="8" s="1"/>
  <c r="K39" i="12"/>
  <c r="J39" i="12"/>
  <c r="B29" i="12"/>
  <c r="F38" i="12"/>
  <c r="F39" i="12" s="1"/>
  <c r="F20" i="12"/>
  <c r="H38" i="12"/>
  <c r="H39" i="12" s="1"/>
  <c r="B26" i="12"/>
  <c r="E38" i="12"/>
  <c r="E39" i="12" s="1"/>
  <c r="E20" i="12"/>
  <c r="D38" i="12"/>
  <c r="D39" i="12" s="1"/>
  <c r="L20" i="12"/>
  <c r="D20" i="12"/>
  <c r="K20" i="12"/>
  <c r="J20" i="12"/>
  <c r="H20" i="12"/>
  <c r="C38" i="12"/>
  <c r="C39" i="12" s="1"/>
  <c r="C20" i="12"/>
  <c r="B23" i="12" s="1"/>
  <c r="G38" i="12"/>
  <c r="G39" i="12" s="1"/>
  <c r="L38" i="12"/>
  <c r="L39" i="12" s="1"/>
  <c r="G20" i="12"/>
  <c r="I38" i="12"/>
  <c r="I39" i="12" s="1"/>
  <c r="I20" i="12"/>
  <c r="J20" i="11"/>
  <c r="J21" i="11" s="1"/>
  <c r="I20" i="11"/>
  <c r="I21" i="11" s="1"/>
  <c r="H20" i="11"/>
  <c r="H21" i="11" s="1"/>
  <c r="G20" i="11"/>
  <c r="G21" i="11" s="1"/>
  <c r="F20" i="11"/>
  <c r="F21" i="11" s="1"/>
  <c r="E20" i="11"/>
  <c r="E21" i="11" s="1"/>
  <c r="K20" i="11"/>
  <c r="K21" i="11" s="1"/>
  <c r="C20" i="11"/>
  <c r="C21" i="11" s="1"/>
  <c r="L20" i="11"/>
  <c r="L21" i="11" s="1"/>
  <c r="D20" i="11"/>
  <c r="D21" i="11" s="1"/>
  <c r="B29" i="11"/>
  <c r="B31" i="9"/>
  <c r="B28" i="9"/>
  <c r="H22" i="9"/>
  <c r="H23" i="9" s="1"/>
  <c r="K22" i="9"/>
  <c r="K23" i="9" s="1"/>
  <c r="C22" i="9"/>
  <c r="C23" i="9" s="1"/>
  <c r="J22" i="9"/>
  <c r="J23" i="9" s="1"/>
  <c r="G22" i="9"/>
  <c r="G23" i="9" s="1"/>
  <c r="F22" i="9"/>
  <c r="F23" i="9" s="1"/>
  <c r="E22" i="9"/>
  <c r="E23" i="9" s="1"/>
  <c r="I22" i="9"/>
  <c r="I23" i="9" s="1"/>
  <c r="L22" i="9"/>
  <c r="L23" i="9" s="1"/>
  <c r="D22" i="9"/>
  <c r="D23" i="9" s="1"/>
  <c r="B18" i="8"/>
  <c r="E11" i="8"/>
  <c r="E12" i="8" s="1"/>
  <c r="E13" i="8" s="1"/>
  <c r="G11" i="8"/>
  <c r="G12" i="8" s="1"/>
  <c r="G13" i="8" s="1"/>
  <c r="B14" i="8" l="1"/>
  <c r="B40" i="12"/>
  <c r="F41" i="12" s="1"/>
  <c r="B23" i="11"/>
  <c r="B25" i="9"/>
  <c r="K41" i="12" l="1"/>
  <c r="K47" i="12" s="1"/>
  <c r="I41" i="12"/>
  <c r="I47" i="12" s="1"/>
  <c r="J41" i="12"/>
  <c r="J47" i="12" s="1"/>
  <c r="F47" i="12"/>
  <c r="F42" i="12"/>
  <c r="E41" i="12"/>
  <c r="D41" i="12"/>
  <c r="H41" i="12"/>
  <c r="L41" i="12"/>
  <c r="C41" i="12"/>
  <c r="G41" i="12"/>
  <c r="I42" i="12" l="1"/>
  <c r="K42" i="12"/>
  <c r="J42" i="12"/>
  <c r="D47" i="12"/>
  <c r="D42" i="12"/>
  <c r="E47" i="12"/>
  <c r="E42" i="12"/>
  <c r="G42" i="12"/>
  <c r="G47" i="12"/>
  <c r="C42" i="12"/>
  <c r="C47" i="12"/>
  <c r="L47" i="12"/>
  <c r="L42" i="12"/>
  <c r="H42" i="12"/>
  <c r="H47" i="12"/>
  <c r="B43" i="12" l="1"/>
  <c r="B44" i="12" s="1"/>
  <c r="B48" i="12"/>
  <c r="B4" i="2" l="1"/>
  <c r="O20" i="2" l="1"/>
  <c r="P20" i="2"/>
  <c r="V20" i="2"/>
  <c r="B19" i="2"/>
  <c r="B21" i="2" s="1"/>
  <c r="X20" i="2"/>
  <c r="G20" i="2"/>
  <c r="Q20" i="2"/>
  <c r="W20" i="2"/>
  <c r="H20" i="2"/>
  <c r="I20" i="2"/>
  <c r="Y20" i="2"/>
  <c r="B20" i="2"/>
  <c r="J20" i="2"/>
  <c r="R20" i="2"/>
  <c r="Z20" i="2"/>
  <c r="C20" i="2"/>
  <c r="K20" i="2"/>
  <c r="S20" i="2"/>
  <c r="AA20" i="2"/>
  <c r="D20" i="2"/>
  <c r="E20" i="2"/>
  <c r="M20" i="2"/>
  <c r="U20" i="2"/>
  <c r="B12" i="2"/>
  <c r="L20" i="2"/>
  <c r="T20" i="2"/>
  <c r="F20" i="2"/>
  <c r="N20" i="2"/>
  <c r="B22" i="2" l="1"/>
  <c r="C19" i="2" s="1"/>
  <c r="C21" i="2" s="1"/>
  <c r="C22" i="2" s="1"/>
  <c r="D19" i="2" s="1"/>
  <c r="D21" i="2" s="1"/>
  <c r="D22" i="2" s="1"/>
  <c r="E19" i="2" s="1"/>
  <c r="E21" i="2" l="1"/>
  <c r="E22" i="2" s="1"/>
  <c r="F19" i="2" s="1"/>
  <c r="F21" i="2" l="1"/>
  <c r="F22" i="2" s="1"/>
  <c r="G19" i="2" s="1"/>
  <c r="G21" i="2" l="1"/>
  <c r="G22" i="2" s="1"/>
  <c r="H19" i="2" s="1"/>
  <c r="H21" i="2" l="1"/>
  <c r="H22" i="2" s="1"/>
  <c r="I19" i="2" s="1"/>
  <c r="I21" i="2" l="1"/>
  <c r="I22" i="2" s="1"/>
  <c r="J19" i="2" s="1"/>
  <c r="J21" i="2" l="1"/>
  <c r="J22" i="2" s="1"/>
  <c r="K19" i="2" s="1"/>
  <c r="K21" i="2" l="1"/>
  <c r="K22" i="2" s="1"/>
  <c r="L19" i="2" s="1"/>
  <c r="L21" i="2" l="1"/>
  <c r="L22" i="2" s="1"/>
  <c r="M19" i="2" s="1"/>
  <c r="M21" i="2" l="1"/>
  <c r="M22" i="2" s="1"/>
  <c r="N19" i="2" s="1"/>
  <c r="N21" i="2" l="1"/>
  <c r="N22" i="2" s="1"/>
  <c r="O19" i="2" s="1"/>
  <c r="O21" i="2" l="1"/>
  <c r="O22" i="2" s="1"/>
  <c r="P19" i="2" s="1"/>
  <c r="P21" i="2" l="1"/>
  <c r="P22" i="2" s="1"/>
  <c r="Q19" i="2" s="1"/>
  <c r="Q21" i="2" l="1"/>
  <c r="Q22" i="2" s="1"/>
  <c r="R19" i="2" s="1"/>
  <c r="R21" i="2" l="1"/>
  <c r="R22" i="2" s="1"/>
  <c r="S19" i="2" s="1"/>
  <c r="S21" i="2" l="1"/>
  <c r="S22" i="2" s="1"/>
  <c r="T19" i="2" s="1"/>
  <c r="T21" i="2" l="1"/>
  <c r="T22" i="2" s="1"/>
  <c r="U19" i="2" s="1"/>
  <c r="U21" i="2" l="1"/>
  <c r="U22" i="2" s="1"/>
  <c r="V19" i="2" s="1"/>
  <c r="V21" i="2" l="1"/>
  <c r="V22" i="2" s="1"/>
  <c r="W19" i="2" s="1"/>
  <c r="W21" i="2" l="1"/>
  <c r="W22" i="2" s="1"/>
  <c r="X19" i="2" s="1"/>
  <c r="X21" i="2" l="1"/>
  <c r="X22" i="2" s="1"/>
  <c r="Y19" i="2" s="1"/>
  <c r="Y21" i="2" l="1"/>
  <c r="Y22" i="2" s="1"/>
  <c r="Z19" i="2" s="1"/>
  <c r="Z21" i="2" l="1"/>
  <c r="Z22" i="2" s="1"/>
  <c r="AA19" i="2" s="1"/>
  <c r="AA21" i="2" s="1"/>
  <c r="AA22" i="2" s="1"/>
</calcChain>
</file>

<file path=xl/sharedStrings.xml><?xml version="1.0" encoding="utf-8"?>
<sst xmlns="http://schemas.openxmlformats.org/spreadsheetml/2006/main" count="250" uniqueCount="123">
  <si>
    <t>Periods</t>
  </si>
  <si>
    <t>Present Value</t>
  </si>
  <si>
    <t>Method 2: Using Formula</t>
  </si>
  <si>
    <t>SUM</t>
  </si>
  <si>
    <t>Method 3: Using FV Function</t>
  </si>
  <si>
    <t>Interest Rate</t>
  </si>
  <si>
    <t>Number of Years</t>
  </si>
  <si>
    <t>Year</t>
  </si>
  <si>
    <t>Payment</t>
  </si>
  <si>
    <t>Interest Component</t>
  </si>
  <si>
    <t>Principal Component</t>
  </si>
  <si>
    <t>Beg.Principal balance</t>
  </si>
  <si>
    <t>Annual Payment</t>
  </si>
  <si>
    <t>OPTION 1:</t>
  </si>
  <si>
    <t xml:space="preserve">PV </t>
  </si>
  <si>
    <t xml:space="preserve">No. of Years </t>
  </si>
  <si>
    <t>Annual Payments</t>
  </si>
  <si>
    <t xml:space="preserve">Year </t>
  </si>
  <si>
    <t>Total</t>
  </si>
  <si>
    <t xml:space="preserve">Beg Principal Balance </t>
  </si>
  <si>
    <t xml:space="preserve">Payment </t>
  </si>
  <si>
    <t xml:space="preserve">Interest Component </t>
  </si>
  <si>
    <t xml:space="preserve">Principal Component </t>
  </si>
  <si>
    <t>OPTION 2:</t>
  </si>
  <si>
    <t xml:space="preserve">Total </t>
  </si>
  <si>
    <t>Interest Rate (Initial)</t>
  </si>
  <si>
    <t>Interest Rate (Dropped)</t>
  </si>
  <si>
    <t>Annual Payments for 9.5%</t>
  </si>
  <si>
    <t>Annual Payments for 8.2%</t>
  </si>
  <si>
    <t>Interest rate/year</t>
  </si>
  <si>
    <t>Principal rate/year</t>
  </si>
  <si>
    <t>Scenario 10: Pricing a Corporate Bond</t>
  </si>
  <si>
    <t>Face value ($)</t>
  </si>
  <si>
    <t>Coupon-yearly  ($)</t>
  </si>
  <si>
    <t>Yield  (%)</t>
  </si>
  <si>
    <t>Time to Maturity (years)</t>
  </si>
  <si>
    <t>Method 1: Timeline to discount each cahflow individually</t>
  </si>
  <si>
    <t>Years</t>
  </si>
  <si>
    <t>Coupon</t>
  </si>
  <si>
    <t>Cash Flow</t>
  </si>
  <si>
    <t>PV at Period 0</t>
  </si>
  <si>
    <t>Bond Price</t>
  </si>
  <si>
    <t>Method 2: The Bond Pricing Formula</t>
  </si>
  <si>
    <t>Method 3: The PV Function</t>
  </si>
  <si>
    <t>Scenario 11: Pricing a Treasury Bond</t>
  </si>
  <si>
    <t xml:space="preserve">Inputs </t>
  </si>
  <si>
    <t xml:space="preserve">Currency Number </t>
  </si>
  <si>
    <t>Rate Convention</t>
  </si>
  <si>
    <t>Currency:</t>
  </si>
  <si>
    <t>1 = Chinese Yuan</t>
  </si>
  <si>
    <t>Annual Coupon Rate</t>
  </si>
  <si>
    <t>Exchange rate=</t>
  </si>
  <si>
    <t>2 = Euro</t>
  </si>
  <si>
    <t>Yield to Maturity (Annualized)</t>
  </si>
  <si>
    <t>3 = Indian Rupee</t>
  </si>
  <si>
    <t>Number of Payments/ Year</t>
  </si>
  <si>
    <t>4 = US Dollar</t>
  </si>
  <si>
    <t>Number of Periods to Maturity (T)</t>
  </si>
  <si>
    <t>Face Value (PAR)</t>
  </si>
  <si>
    <t>Outputs</t>
  </si>
  <si>
    <t xml:space="preserve">Discount rate/ period (r) </t>
  </si>
  <si>
    <t>Coupon payment (pmt)</t>
  </si>
  <si>
    <t>Bond Price using a timeline</t>
  </si>
  <si>
    <t>Period</t>
  </si>
  <si>
    <t>Time (years)</t>
  </si>
  <si>
    <t>Cash Flows</t>
  </si>
  <si>
    <t>Present Value of Cash Flows</t>
  </si>
  <si>
    <t xml:space="preserve">Bond Price using a formula </t>
  </si>
  <si>
    <t xml:space="preserve">Bond Price </t>
  </si>
  <si>
    <t>Bond Price using the PV function</t>
  </si>
  <si>
    <t>Bond Price using the Price function</t>
  </si>
  <si>
    <t>Scenario 12: Bond Price and Yield Realationshp</t>
  </si>
  <si>
    <t>Yield to Maturity (input for data table)</t>
  </si>
  <si>
    <t>Data Table: Sensitivity of Bond Price to Discount Rate/ Period</t>
  </si>
  <si>
    <t>Discount rate/ period</t>
  </si>
  <si>
    <t>Scenario 13: Instant Experiments on Bond Price</t>
  </si>
  <si>
    <t>Scenario 14: Duration and Convexity</t>
  </si>
  <si>
    <t>Currency</t>
  </si>
  <si>
    <t>Exchange rate</t>
  </si>
  <si>
    <t>Calculating Duration and Modified Duration</t>
  </si>
  <si>
    <t>Weight</t>
  </si>
  <si>
    <t>Weight * Time</t>
  </si>
  <si>
    <t>Duration</t>
  </si>
  <si>
    <t>Modified Duration</t>
  </si>
  <si>
    <t>Bond Convexity</t>
  </si>
  <si>
    <t>Weight + (time^2 + Time)</t>
  </si>
  <si>
    <t>Convexity using a timeline</t>
  </si>
  <si>
    <t>Scenario 5: The "Side Quest" DLC Project</t>
  </si>
  <si>
    <t>Nominal Discount Rate</t>
  </si>
  <si>
    <t>Method 1: NPV Using Timeline by discounting each cashflow</t>
  </si>
  <si>
    <t>Timeline</t>
  </si>
  <si>
    <t>Net Present Value</t>
  </si>
  <si>
    <t>Method 2: NPV Using Excel Function</t>
  </si>
  <si>
    <t>Scenario 6: The "Cross-Platform" Project(with Inflation)</t>
  </si>
  <si>
    <t>Inflation rate</t>
  </si>
  <si>
    <t>Real discount rate</t>
  </si>
  <si>
    <t>Cashflows</t>
  </si>
  <si>
    <t>PV of Cash flow</t>
  </si>
  <si>
    <t xml:space="preserve">Net Present Value </t>
  </si>
  <si>
    <t>Scenario 1: The Final Crowdfunding Event</t>
  </si>
  <si>
    <t>FV</t>
  </si>
  <si>
    <t>PMT</t>
  </si>
  <si>
    <t>n</t>
  </si>
  <si>
    <t>r</t>
  </si>
  <si>
    <t>Method 1: Discounting Each Cash Flow Using Timeline</t>
  </si>
  <si>
    <t>End of Period</t>
  </si>
  <si>
    <t>CF</t>
  </si>
  <si>
    <t>PVCF</t>
  </si>
  <si>
    <t>Method 2: Using PVCF Formula</t>
  </si>
  <si>
    <t>Method 3: Using PV Function on Excel</t>
  </si>
  <si>
    <t>Scenario 3: The Animation Grant</t>
  </si>
  <si>
    <t>Scenario 4: The Sound Design Savings Fund</t>
  </si>
  <si>
    <t>PV</t>
  </si>
  <si>
    <t>Total at 6</t>
  </si>
  <si>
    <t>FVCF</t>
  </si>
  <si>
    <t>Scenario 2: Seed Investment in Her Own Company</t>
  </si>
  <si>
    <t>Method 1: FV Using Time Line</t>
  </si>
  <si>
    <t>NPV</t>
  </si>
  <si>
    <t>Nominal discount rate</t>
  </si>
  <si>
    <t>Scenario 8: Comparing Mortgage Options</t>
  </si>
  <si>
    <t>Method 2: Using FVCF Formula</t>
  </si>
  <si>
    <t>Scenario 9: The Impact of a Rate Drop</t>
  </si>
  <si>
    <t>Scenario 7: The First Studio 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</si>
</sst>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₹&quot;\ #,##0;[Red]&quot;₹&quot;\ \-#,##0"/>
    <numFmt numFmtId="8" formatCode="&quot;₹&quot;\ #,##0.00;[Red]&quot;₹&quot;\ \-#,##0.00"/>
    <numFmt numFmtId="164" formatCode="[$$-409]#,##0.00"/>
    <numFmt numFmtId="165" formatCode="[$$-409]#,##0.00_ ;[Red]\-[$$-409]#,##0.00\ "/>
    <numFmt numFmtId="166" formatCode="[$$-409]#,##0"/>
    <numFmt numFmtId="167" formatCode="[$$-409]#,##0.0"/>
    <numFmt numFmtId="168" formatCode="0.0%"/>
    <numFmt numFmtId="169" formatCode="&quot;₹&quot;\ #,##0"/>
    <numFmt numFmtId="170" formatCode="&quot;$&quot;#,##0.00"/>
    <numFmt numFmtId="171" formatCode="&quot;$&quot;#,##0.00_);[Red]\(&quot;$&quot;#,##0.00\)"/>
    <numFmt numFmtId="172" formatCode="[$₹-4009]\ #,##0.00"/>
    <numFmt numFmtId="173" formatCode="[$¥-804]#,##0.0000"/>
    <numFmt numFmtId="174" formatCode="0.0000"/>
    <numFmt numFmtId="175" formatCode="[$€-2]\ #,##0.0000;[Red]\-[$€-2]\ #,##0.0000"/>
    <numFmt numFmtId="176" formatCode="0.000%"/>
    <numFmt numFmtId="177" formatCode="&quot;$&quot;#,##0_);[Red]\(&quot;$&quot;#,##0\)"/>
    <numFmt numFmtId="178" formatCode="0.0"/>
    <numFmt numFmtId="179" formatCode="_(&quot;$&quot;* #,##0.00_);_(&quot;$&quot;* \(#,##0.00\);_(&quot;$&quot;* &quot;-&quot;??_);_(@_)"/>
    <numFmt numFmtId="180" formatCode="&quot;₹&quot;\ #,##0.00"/>
    <numFmt numFmtId="184" formatCode="0.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rgb="FF000000"/>
      <name val="Aptos Narrow"/>
    </font>
    <font>
      <sz val="9.85"/>
      <color rgb="FF000000"/>
      <name val="Aptos Narrow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79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 applyFill="1"/>
    <xf numFmtId="0" fontId="4" fillId="0" borderId="0" xfId="0" applyFont="1"/>
    <xf numFmtId="0" fontId="4" fillId="0" borderId="0" xfId="2" applyFont="1"/>
    <xf numFmtId="165" fontId="4" fillId="0" borderId="0" xfId="0" applyNumberFormat="1" applyFont="1"/>
    <xf numFmtId="0" fontId="0" fillId="0" borderId="0" xfId="0"/>
    <xf numFmtId="10" fontId="0" fillId="0" borderId="0" xfId="0" applyNumberFormat="1"/>
    <xf numFmtId="1" fontId="0" fillId="0" borderId="0" xfId="0" applyNumberFormat="1"/>
    <xf numFmtId="169" fontId="0" fillId="0" borderId="0" xfId="0" applyNumberFormat="1"/>
    <xf numFmtId="10" fontId="0" fillId="3" borderId="0" xfId="0" applyNumberFormat="1" applyFill="1"/>
    <xf numFmtId="6" fontId="0" fillId="0" borderId="0" xfId="0" applyNumberFormat="1"/>
    <xf numFmtId="0" fontId="7" fillId="0" borderId="0" xfId="2" applyFont="1"/>
    <xf numFmtId="0" fontId="9" fillId="0" borderId="0" xfId="2" applyFont="1"/>
    <xf numFmtId="0" fontId="12" fillId="0" borderId="3" xfId="2" applyFont="1" applyBorder="1"/>
    <xf numFmtId="0" fontId="13" fillId="0" borderId="4" xfId="2" applyFont="1" applyBorder="1"/>
    <xf numFmtId="170" fontId="0" fillId="0" borderId="0" xfId="0" applyNumberFormat="1"/>
    <xf numFmtId="0" fontId="3" fillId="0" borderId="0" xfId="2"/>
    <xf numFmtId="10" fontId="7" fillId="0" borderId="2" xfId="2" applyNumberFormat="1" applyFont="1" applyBorder="1"/>
    <xf numFmtId="168" fontId="7" fillId="0" borderId="2" xfId="2" applyNumberFormat="1" applyFont="1" applyBorder="1"/>
    <xf numFmtId="177" fontId="7" fillId="0" borderId="2" xfId="2" applyNumberFormat="1" applyFont="1" applyBorder="1"/>
    <xf numFmtId="168" fontId="7" fillId="0" borderId="0" xfId="2" applyNumberFormat="1" applyFont="1"/>
    <xf numFmtId="0" fontId="0" fillId="0" borderId="0" xfId="0" applyFill="1"/>
    <xf numFmtId="0" fontId="5" fillId="0" borderId="0" xfId="0" applyFont="1" applyFill="1"/>
    <xf numFmtId="170" fontId="0" fillId="0" borderId="0" xfId="4" applyNumberFormat="1" applyFont="1"/>
    <xf numFmtId="168" fontId="0" fillId="3" borderId="0" xfId="1" applyNumberFormat="1" applyFont="1" applyFill="1"/>
    <xf numFmtId="168" fontId="0" fillId="3" borderId="0" xfId="0" applyNumberFormat="1" applyFill="1"/>
    <xf numFmtId="0" fontId="2" fillId="0" borderId="0" xfId="0" applyFont="1"/>
    <xf numFmtId="0" fontId="5" fillId="0" borderId="0" xfId="0" applyFont="1" applyFill="1" applyBorder="1"/>
    <xf numFmtId="10" fontId="0" fillId="0" borderId="0" xfId="0" applyNumberFormat="1" applyFill="1" applyBorder="1"/>
    <xf numFmtId="0" fontId="5" fillId="0" borderId="0" xfId="0" applyFont="1"/>
    <xf numFmtId="180" fontId="5" fillId="5" borderId="0" xfId="0" applyNumberFormat="1" applyFont="1" applyFill="1"/>
    <xf numFmtId="8" fontId="5" fillId="5" borderId="0" xfId="0" applyNumberFormat="1" applyFont="1" applyFill="1"/>
    <xf numFmtId="0" fontId="0" fillId="5" borderId="0" xfId="0" applyFill="1"/>
    <xf numFmtId="0" fontId="5" fillId="0" borderId="0" xfId="0" applyFont="1" applyFill="1" applyAlignment="1"/>
    <xf numFmtId="0" fontId="5" fillId="5" borderId="0" xfId="0" applyFont="1" applyFill="1"/>
    <xf numFmtId="178" fontId="2" fillId="0" borderId="0" xfId="0" applyNumberFormat="1" applyFont="1" applyFill="1"/>
    <xf numFmtId="178" fontId="2" fillId="0" borderId="0" xfId="0" applyNumberFormat="1" applyFont="1"/>
    <xf numFmtId="0" fontId="16" fillId="0" borderId="0" xfId="0" applyFont="1"/>
    <xf numFmtId="0" fontId="0" fillId="0" borderId="0" xfId="0" applyFont="1"/>
    <xf numFmtId="0" fontId="0" fillId="0" borderId="0" xfId="0" applyFont="1" applyFill="1"/>
    <xf numFmtId="10" fontId="0" fillId="0" borderId="0" xfId="0" applyNumberFormat="1" applyFont="1" applyFill="1" applyBorder="1"/>
    <xf numFmtId="0" fontId="5" fillId="0" borderId="0" xfId="0" applyFont="1" applyBorder="1"/>
    <xf numFmtId="0" fontId="0" fillId="3" borderId="0" xfId="0" applyFont="1" applyFill="1" applyBorder="1"/>
    <xf numFmtId="168" fontId="0" fillId="3" borderId="0" xfId="0" applyNumberFormat="1" applyFont="1" applyFill="1" applyBorder="1"/>
    <xf numFmtId="164" fontId="0" fillId="3" borderId="0" xfId="0" applyNumberFormat="1" applyFont="1" applyFill="1"/>
    <xf numFmtId="0" fontId="0" fillId="3" borderId="0" xfId="0" applyFont="1" applyFill="1"/>
    <xf numFmtId="10" fontId="0" fillId="3" borderId="0" xfId="0" applyNumberFormat="1" applyFont="1" applyFill="1"/>
    <xf numFmtId="164" fontId="0" fillId="0" borderId="0" xfId="0" applyNumberFormat="1" applyFont="1"/>
    <xf numFmtId="8" fontId="0" fillId="0" borderId="0" xfId="0" applyNumberFormat="1" applyFont="1"/>
    <xf numFmtId="164" fontId="0" fillId="3" borderId="0" xfId="0" applyNumberFormat="1" applyFont="1" applyFill="1" applyBorder="1"/>
    <xf numFmtId="164" fontId="5" fillId="5" borderId="0" xfId="0" applyNumberFormat="1" applyFont="1" applyFill="1"/>
    <xf numFmtId="165" fontId="5" fillId="5" borderId="0" xfId="0" applyNumberFormat="1" applyFont="1" applyFill="1"/>
    <xf numFmtId="180" fontId="0" fillId="3" borderId="0" xfId="0" applyNumberFormat="1" applyFill="1" applyBorder="1"/>
    <xf numFmtId="0" fontId="0" fillId="3" borderId="0" xfId="0" applyFill="1" applyBorder="1"/>
    <xf numFmtId="10" fontId="0" fillId="3" borderId="0" xfId="1" applyNumberFormat="1" applyFont="1" applyFill="1" applyBorder="1"/>
    <xf numFmtId="170" fontId="5" fillId="5" borderId="0" xfId="4" applyNumberFormat="1" applyFont="1" applyFill="1"/>
    <xf numFmtId="170" fontId="5" fillId="5" borderId="0" xfId="0" applyNumberFormat="1" applyFont="1" applyFill="1"/>
    <xf numFmtId="166" fontId="4" fillId="3" borderId="0" xfId="0" applyNumberFormat="1" applyFont="1" applyFill="1"/>
    <xf numFmtId="168" fontId="4" fillId="3" borderId="0" xfId="1" applyNumberFormat="1" applyFont="1" applyFill="1"/>
    <xf numFmtId="0" fontId="4" fillId="3" borderId="0" xfId="0" applyFont="1" applyFill="1"/>
    <xf numFmtId="0" fontId="18" fillId="0" borderId="0" xfId="0" applyFont="1"/>
    <xf numFmtId="12" fontId="18" fillId="0" borderId="0" xfId="0" applyNumberFormat="1" applyFont="1"/>
    <xf numFmtId="0" fontId="4" fillId="0" borderId="2" xfId="2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64" fontId="5" fillId="4" borderId="0" xfId="0" applyNumberFormat="1" applyFont="1" applyFill="1"/>
    <xf numFmtId="0" fontId="0" fillId="5" borderId="0" xfId="0" applyFont="1" applyFill="1"/>
    <xf numFmtId="0" fontId="7" fillId="0" borderId="0" xfId="2" applyFont="1" applyFill="1"/>
    <xf numFmtId="170" fontId="7" fillId="0" borderId="2" xfId="2" applyNumberFormat="1" applyFont="1" applyFill="1" applyBorder="1"/>
    <xf numFmtId="0" fontId="7" fillId="0" borderId="2" xfId="2" applyFont="1" applyFill="1" applyBorder="1"/>
    <xf numFmtId="0" fontId="0" fillId="0" borderId="0" xfId="0" applyAlignment="1">
      <alignment horizontal="left"/>
    </xf>
    <xf numFmtId="0" fontId="7" fillId="4" borderId="0" xfId="2" applyFont="1" applyFill="1"/>
    <xf numFmtId="170" fontId="7" fillId="4" borderId="2" xfId="2" applyNumberFormat="1" applyFont="1" applyFill="1" applyBorder="1"/>
    <xf numFmtId="0" fontId="7" fillId="4" borderId="2" xfId="2" applyFont="1" applyFill="1" applyBorder="1"/>
    <xf numFmtId="0" fontId="21" fillId="0" borderId="0" xfId="2" applyFont="1"/>
    <xf numFmtId="0" fontId="21" fillId="4" borderId="0" xfId="2" applyFont="1" applyFill="1"/>
    <xf numFmtId="0" fontId="22" fillId="4" borderId="0" xfId="2" applyFont="1" applyFill="1"/>
    <xf numFmtId="0" fontId="23" fillId="0" borderId="0" xfId="2" applyFont="1"/>
    <xf numFmtId="0" fontId="22" fillId="2" borderId="0" xfId="2" applyFont="1" applyFill="1"/>
    <xf numFmtId="0" fontId="21" fillId="0" borderId="2" xfId="2" applyFont="1" applyBorder="1"/>
    <xf numFmtId="170" fontId="21" fillId="0" borderId="2" xfId="2" applyNumberFormat="1" applyFont="1" applyBorder="1"/>
    <xf numFmtId="170" fontId="22" fillId="5" borderId="2" xfId="2" applyNumberFormat="1" applyFont="1" applyFill="1" applyBorder="1" applyAlignment="1">
      <alignment horizontal="center" vertical="center"/>
    </xf>
    <xf numFmtId="171" fontId="22" fillId="5" borderId="2" xfId="2" applyNumberFormat="1" applyFont="1" applyFill="1" applyBorder="1" applyAlignment="1">
      <alignment horizontal="center" vertical="center"/>
    </xf>
    <xf numFmtId="0" fontId="24" fillId="0" borderId="0" xfId="2" applyFont="1"/>
    <xf numFmtId="0" fontId="7" fillId="0" borderId="3" xfId="2" applyFont="1" applyFill="1" applyBorder="1"/>
    <xf numFmtId="0" fontId="12" fillId="0" borderId="2" xfId="2" applyFont="1" applyFill="1" applyBorder="1" applyAlignment="1">
      <alignment horizontal="center" vertical="center"/>
    </xf>
    <xf numFmtId="173" fontId="7" fillId="0" borderId="2" xfId="2" applyNumberFormat="1" applyFont="1" applyFill="1" applyBorder="1" applyAlignment="1">
      <alignment horizontal="center"/>
    </xf>
    <xf numFmtId="174" fontId="7" fillId="0" borderId="8" xfId="2" applyNumberFormat="1" applyFont="1" applyFill="1" applyBorder="1"/>
    <xf numFmtId="175" fontId="7" fillId="0" borderId="2" xfId="2" applyNumberFormat="1" applyFont="1" applyFill="1" applyBorder="1" applyAlignment="1">
      <alignment horizontal="center"/>
    </xf>
    <xf numFmtId="172" fontId="7" fillId="0" borderId="2" xfId="2" applyNumberFormat="1" applyFont="1" applyFill="1" applyBorder="1" applyAlignment="1">
      <alignment horizontal="center"/>
    </xf>
    <xf numFmtId="171" fontId="7" fillId="0" borderId="2" xfId="2" applyNumberFormat="1" applyFont="1" applyFill="1" applyBorder="1" applyAlignment="1">
      <alignment horizontal="center"/>
    </xf>
    <xf numFmtId="0" fontId="12" fillId="0" borderId="2" xfId="2" applyFont="1" applyFill="1" applyBorder="1"/>
    <xf numFmtId="176" fontId="7" fillId="0" borderId="2" xfId="2" applyNumberFormat="1" applyFont="1" applyFill="1" applyBorder="1"/>
    <xf numFmtId="0" fontId="12" fillId="0" borderId="5" xfId="2" applyFont="1" applyFill="1" applyBorder="1"/>
    <xf numFmtId="171" fontId="8" fillId="0" borderId="2" xfId="2" applyNumberFormat="1" applyFont="1" applyFill="1" applyBorder="1"/>
    <xf numFmtId="0" fontId="8" fillId="0" borderId="5" xfId="2" applyFont="1" applyFill="1" applyBorder="1"/>
    <xf numFmtId="0" fontId="19" fillId="0" borderId="0" xfId="2" applyFont="1" applyFill="1"/>
    <xf numFmtId="0" fontId="14" fillId="0" borderId="5" xfId="2" applyFont="1" applyFill="1" applyBorder="1"/>
    <xf numFmtId="0" fontId="3" fillId="0" borderId="0" xfId="2" applyFill="1"/>
    <xf numFmtId="10" fontId="7" fillId="0" borderId="2" xfId="2" applyNumberFormat="1" applyFont="1" applyFill="1" applyBorder="1"/>
    <xf numFmtId="0" fontId="7" fillId="0" borderId="5" xfId="2" applyFont="1" applyFill="1" applyBorder="1"/>
    <xf numFmtId="0" fontId="19" fillId="0" borderId="0" xfId="2" applyFont="1" applyFill="1" applyBorder="1"/>
    <xf numFmtId="0" fontId="8" fillId="4" borderId="2" xfId="2" applyFont="1" applyFill="1" applyBorder="1"/>
    <xf numFmtId="0" fontId="13" fillId="3" borderId="2" xfId="2" applyFont="1" applyFill="1" applyBorder="1"/>
    <xf numFmtId="10" fontId="7" fillId="3" borderId="2" xfId="3" applyNumberFormat="1" applyFont="1" applyFill="1" applyBorder="1"/>
    <xf numFmtId="0" fontId="7" fillId="3" borderId="2" xfId="2" applyFont="1" applyFill="1" applyBorder="1"/>
    <xf numFmtId="0" fontId="7" fillId="0" borderId="0" xfId="2" applyFont="1" applyBorder="1"/>
    <xf numFmtId="0" fontId="12" fillId="0" borderId="0" xfId="2" applyFont="1" applyFill="1" applyBorder="1"/>
    <xf numFmtId="0" fontId="13" fillId="3" borderId="0" xfId="2" applyFont="1" applyFill="1" applyBorder="1"/>
    <xf numFmtId="0" fontId="7" fillId="0" borderId="0" xfId="2" applyFont="1" applyFill="1" applyBorder="1"/>
    <xf numFmtId="174" fontId="7" fillId="0" borderId="2" xfId="2" applyNumberFormat="1" applyFont="1" applyFill="1" applyBorder="1"/>
    <xf numFmtId="0" fontId="25" fillId="0" borderId="2" xfId="2" applyFont="1" applyFill="1" applyBorder="1"/>
    <xf numFmtId="0" fontId="12" fillId="4" borderId="3" xfId="2" applyFont="1" applyFill="1" applyBorder="1"/>
    <xf numFmtId="0" fontId="13" fillId="4" borderId="8" xfId="2" applyFont="1" applyFill="1" applyBorder="1"/>
    <xf numFmtId="0" fontId="8" fillId="4" borderId="5" xfId="2" applyFont="1" applyFill="1" applyBorder="1"/>
    <xf numFmtId="0" fontId="7" fillId="4" borderId="3" xfId="2" applyFont="1" applyFill="1" applyBorder="1"/>
    <xf numFmtId="0" fontId="13" fillId="4" borderId="6" xfId="2" applyFont="1" applyFill="1" applyBorder="1"/>
    <xf numFmtId="0" fontId="19" fillId="4" borderId="0" xfId="2" applyFont="1" applyFill="1"/>
    <xf numFmtId="0" fontId="12" fillId="4" borderId="2" xfId="2" applyFont="1" applyFill="1" applyBorder="1" applyAlignment="1">
      <alignment horizontal="center" vertical="center"/>
    </xf>
    <xf numFmtId="173" fontId="7" fillId="4" borderId="2" xfId="2" applyNumberFormat="1" applyFont="1" applyFill="1" applyBorder="1" applyAlignment="1">
      <alignment horizontal="center"/>
    </xf>
    <xf numFmtId="174" fontId="7" fillId="4" borderId="8" xfId="2" applyNumberFormat="1" applyFont="1" applyFill="1" applyBorder="1"/>
    <xf numFmtId="175" fontId="7" fillId="4" borderId="2" xfId="2" applyNumberFormat="1" applyFont="1" applyFill="1" applyBorder="1" applyAlignment="1">
      <alignment horizontal="center"/>
    </xf>
    <xf numFmtId="172" fontId="7" fillId="4" borderId="2" xfId="2" applyNumberFormat="1" applyFont="1" applyFill="1" applyBorder="1" applyAlignment="1">
      <alignment horizontal="center"/>
    </xf>
    <xf numFmtId="171" fontId="7" fillId="4" borderId="2" xfId="2" applyNumberFormat="1" applyFont="1" applyFill="1" applyBorder="1" applyAlignment="1">
      <alignment horizontal="center"/>
    </xf>
    <xf numFmtId="0" fontId="12" fillId="4" borderId="2" xfId="2" applyFont="1" applyFill="1" applyBorder="1"/>
    <xf numFmtId="176" fontId="7" fillId="4" borderId="2" xfId="2" applyNumberFormat="1" applyFont="1" applyFill="1" applyBorder="1"/>
    <xf numFmtId="0" fontId="12" fillId="4" borderId="5" xfId="2" applyFont="1" applyFill="1" applyBorder="1"/>
    <xf numFmtId="168" fontId="7" fillId="4" borderId="0" xfId="2" applyNumberFormat="1" applyFont="1" applyFill="1"/>
    <xf numFmtId="178" fontId="7" fillId="4" borderId="2" xfId="2" applyNumberFormat="1" applyFont="1" applyFill="1" applyBorder="1"/>
    <xf numFmtId="0" fontId="15" fillId="4" borderId="2" xfId="2" applyFont="1" applyFill="1" applyBorder="1"/>
    <xf numFmtId="170" fontId="15" fillId="4" borderId="2" xfId="2" applyNumberFormat="1" applyFont="1" applyFill="1" applyBorder="1"/>
    <xf numFmtId="176" fontId="7" fillId="4" borderId="2" xfId="3" applyNumberFormat="1" applyFont="1" applyFill="1" applyBorder="1"/>
    <xf numFmtId="0" fontId="14" fillId="4" borderId="2" xfId="2" applyFont="1" applyFill="1" applyBorder="1" applyAlignment="1">
      <alignment horizontal="right"/>
    </xf>
    <xf numFmtId="0" fontId="14" fillId="4" borderId="5" xfId="2" applyFont="1" applyFill="1" applyBorder="1"/>
    <xf numFmtId="2" fontId="7" fillId="4" borderId="2" xfId="2" applyNumberFormat="1" applyFont="1" applyFill="1" applyBorder="1"/>
    <xf numFmtId="170" fontId="8" fillId="5" borderId="2" xfId="2" applyNumberFormat="1" applyFont="1" applyFill="1" applyBorder="1"/>
    <xf numFmtId="171" fontId="8" fillId="5" borderId="2" xfId="2" applyNumberFormat="1" applyFont="1" applyFill="1" applyBorder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8" fontId="0" fillId="3" borderId="0" xfId="0" applyNumberForma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0" fillId="6" borderId="0" xfId="2" applyFont="1" applyFill="1" applyAlignment="1">
      <alignment horizontal="center" vertical="center"/>
    </xf>
    <xf numFmtId="0" fontId="6" fillId="6" borderId="0" xfId="2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0" fontId="0" fillId="0" borderId="2" xfId="0" applyFill="1" applyBorder="1" applyAlignment="1">
      <alignment horizontal="left"/>
    </xf>
    <xf numFmtId="0" fontId="5" fillId="2" borderId="2" xfId="0" applyFont="1" applyFill="1" applyBorder="1"/>
    <xf numFmtId="0" fontId="0" fillId="0" borderId="2" xfId="0" applyBorder="1" applyAlignment="1">
      <alignment horizontal="left"/>
    </xf>
    <xf numFmtId="0" fontId="0" fillId="3" borderId="2" xfId="0" applyFill="1" applyBorder="1"/>
    <xf numFmtId="0" fontId="0" fillId="3" borderId="2" xfId="0" applyNumberFormat="1" applyFill="1" applyBorder="1"/>
    <xf numFmtId="167" fontId="0" fillId="0" borderId="2" xfId="0" applyNumberFormat="1" applyBorder="1"/>
    <xf numFmtId="0" fontId="0" fillId="0" borderId="2" xfId="0" applyFill="1" applyBorder="1"/>
    <xf numFmtId="8" fontId="0" fillId="0" borderId="2" xfId="0" applyNumberFormat="1" applyBorder="1"/>
    <xf numFmtId="164" fontId="0" fillId="3" borderId="2" xfId="0" applyNumberFormat="1" applyFill="1" applyBorder="1"/>
    <xf numFmtId="0" fontId="13" fillId="3" borderId="6" xfId="2" applyFont="1" applyFill="1" applyBorder="1"/>
    <xf numFmtId="10" fontId="7" fillId="3" borderId="7" xfId="3" applyNumberFormat="1" applyFont="1" applyFill="1" applyBorder="1"/>
    <xf numFmtId="0" fontId="6" fillId="6" borderId="0" xfId="2" applyFont="1" applyFill="1" applyAlignment="1">
      <alignment horizontal="center" vertical="center"/>
    </xf>
    <xf numFmtId="0" fontId="6" fillId="6" borderId="9" xfId="2" applyFont="1" applyFill="1" applyBorder="1" applyAlignment="1">
      <alignment horizontal="center" vertical="center"/>
    </xf>
    <xf numFmtId="167" fontId="0" fillId="5" borderId="2" xfId="0" applyNumberFormat="1" applyFill="1" applyBorder="1"/>
    <xf numFmtId="164" fontId="0" fillId="5" borderId="2" xfId="0" applyNumberFormat="1" applyFill="1" applyBorder="1"/>
    <xf numFmtId="170" fontId="21" fillId="3" borderId="2" xfId="2" applyNumberFormat="1" applyFont="1" applyFill="1" applyBorder="1"/>
    <xf numFmtId="10" fontId="21" fillId="3" borderId="2" xfId="3" applyNumberFormat="1" applyFont="1" applyFill="1" applyBorder="1"/>
    <xf numFmtId="0" fontId="21" fillId="3" borderId="2" xfId="2" applyFont="1" applyFill="1" applyBorder="1"/>
    <xf numFmtId="2" fontId="14" fillId="5" borderId="2" xfId="2" applyNumberFormat="1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7" fillId="0" borderId="0" xfId="0" applyFont="1"/>
    <xf numFmtId="0" fontId="27" fillId="0" borderId="2" xfId="0" applyFont="1" applyBorder="1" applyAlignment="1">
      <alignment horizontal="left"/>
    </xf>
    <xf numFmtId="0" fontId="27" fillId="8" borderId="2" xfId="0" applyFont="1" applyFill="1" applyBorder="1"/>
    <xf numFmtId="0" fontId="28" fillId="0" borderId="0" xfId="0" applyFont="1"/>
    <xf numFmtId="0" fontId="27" fillId="0" borderId="2" xfId="0" applyFont="1" applyBorder="1"/>
    <xf numFmtId="8" fontId="27" fillId="0" borderId="2" xfId="0" applyNumberFormat="1" applyFont="1" applyBorder="1"/>
    <xf numFmtId="0" fontId="27" fillId="0" borderId="10" xfId="0" applyFont="1" applyFill="1" applyBorder="1"/>
    <xf numFmtId="6" fontId="27" fillId="0" borderId="2" xfId="0" applyNumberFormat="1" applyFont="1" applyBorder="1"/>
    <xf numFmtId="0" fontId="27" fillId="9" borderId="2" xfId="0" applyFont="1" applyFill="1" applyBorder="1"/>
    <xf numFmtId="6" fontId="27" fillId="9" borderId="2" xfId="0" applyNumberFormat="1" applyFont="1" applyFill="1" applyBorder="1"/>
    <xf numFmtId="10" fontId="27" fillId="8" borderId="2" xfId="0" applyNumberFormat="1" applyFont="1" applyFill="1" applyBorder="1"/>
    <xf numFmtId="184" fontId="0" fillId="3" borderId="2" xfId="0" applyNumberFormat="1" applyFill="1" applyBorder="1"/>
  </cellXfs>
  <cellStyles count="5">
    <cellStyle name="Currency 2" xfId="4" xr:uid="{7CA43B8E-26B9-466F-BD56-F223AD128299}"/>
    <cellStyle name="Normal" xfId="0" builtinId="0"/>
    <cellStyle name="Normal 2" xfId="2" xr:uid="{00000000-0005-0000-0000-000031000000}"/>
    <cellStyle name="Percent" xfId="1" builtinId="5"/>
    <cellStyle name="Percent 2" xfId="3" xr:uid="{02BC77D8-A4C9-4202-BF41-6E0D8F139E16}"/>
  </cellStyles>
  <dxfs count="46"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70" formatCode="&quot;$&quot;#,##0.00"/>
    </dxf>
    <dxf>
      <numFmt numFmtId="183" formatCode="&quot;$&quot;#,##0.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70" formatCode="&quot;$&quot;#,##0.00"/>
    </dxf>
    <dxf>
      <numFmt numFmtId="183" formatCode="&quot;$&quot;#,##0.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  <dxf>
      <numFmt numFmtId="170" formatCode="&quot;$&quot;#,##0.00"/>
    </dxf>
    <dxf>
      <numFmt numFmtId="183" formatCode="&quot;$&quot;#,##0.0"/>
    </dxf>
    <dxf>
      <numFmt numFmtId="181" formatCode="[$¥-804]#,##0.00"/>
    </dxf>
    <dxf>
      <numFmt numFmtId="182" formatCode="[$€-2]\ #,##0.00"/>
    </dxf>
    <dxf>
      <numFmt numFmtId="172" formatCode="[$₹-4009]\ #,##0.00"/>
    </dxf>
    <dxf>
      <numFmt numFmtId="170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</a:t>
            </a:r>
            <a:r>
              <a:rPr lang="en-IN" baseline="0"/>
              <a:t> CF vs PVCF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 1'!$A$11</c:f>
              <c:strCache>
                <c:ptCount val="1"/>
                <c:pt idx="0">
                  <c:v>CF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 1'!$B$11:$F$11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26-400B-916B-18A876EE685E}"/>
            </c:ext>
          </c:extLst>
        </c:ser>
        <c:ser>
          <c:idx val="1"/>
          <c:order val="1"/>
          <c:tx>
            <c:strRef>
              <c:f>'Sc 1'!$A$12</c:f>
              <c:strCache>
                <c:ptCount val="1"/>
                <c:pt idx="0">
                  <c:v>PVCF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 1'!$B$12:$F$12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1824.7020913023871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26-400B-916B-18A876EE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421631"/>
        <c:axId val="689417887"/>
      </c:lineChart>
      <c:catAx>
        <c:axId val="689421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17887"/>
        <c:crosses val="autoZero"/>
        <c:auto val="1"/>
        <c:lblAlgn val="ctr"/>
        <c:lblOffset val="100"/>
        <c:noMultiLvlLbl val="0"/>
      </c:catAx>
      <c:valAx>
        <c:axId val="68941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2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CF vs PVCF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 3'!$A$10</c:f>
              <c:strCache>
                <c:ptCount val="1"/>
                <c:pt idx="0">
                  <c:v>CF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 3'!$B$10:$I$10</c:f>
              <c:numCache>
                <c:formatCode>General</c:formatCode>
                <c:ptCount val="8"/>
                <c:pt idx="0">
                  <c:v>185.5</c:v>
                </c:pt>
                <c:pt idx="1">
                  <c:v>185.5</c:v>
                </c:pt>
                <c:pt idx="2">
                  <c:v>185.5</c:v>
                </c:pt>
                <c:pt idx="3">
                  <c:v>185.5</c:v>
                </c:pt>
                <c:pt idx="4">
                  <c:v>185.5</c:v>
                </c:pt>
                <c:pt idx="5">
                  <c:v>185.5</c:v>
                </c:pt>
                <c:pt idx="6">
                  <c:v>185.5</c:v>
                </c:pt>
                <c:pt idx="7">
                  <c:v>185.5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4-433E-9CD1-D69850E7D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705408"/>
        <c:axId val="882700832"/>
      </c:lineChart>
      <c:lineChart>
        <c:grouping val="standard"/>
        <c:varyColors val="0"/>
        <c:ser>
          <c:idx val="1"/>
          <c:order val="1"/>
          <c:tx>
            <c:strRef>
              <c:f>'Sc 3'!$A$11</c:f>
              <c:strCache>
                <c:ptCount val="1"/>
                <c:pt idx="0">
                  <c:v>PVCF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 3'!$B$11:$I$11</c:f>
              <c:numCache>
                <c:formatCode>General</c:formatCode>
                <c:ptCount val="8"/>
                <c:pt idx="0">
                  <c:v>176.49857278782113</c:v>
                </c:pt>
                <c:pt idx="1">
                  <c:v>167.93394175815521</c:v>
                </c:pt>
                <c:pt idx="2">
                  <c:v>159.78491128273569</c:v>
                </c:pt>
                <c:pt idx="3">
                  <c:v>152.03131425569524</c:v>
                </c:pt>
                <c:pt idx="4">
                  <c:v>144.65396218429615</c:v>
                </c:pt>
                <c:pt idx="5">
                  <c:v>137.63459770151869</c:v>
                </c:pt>
                <c:pt idx="6">
                  <c:v>130.95584938298637</c:v>
                </c:pt>
                <c:pt idx="7">
                  <c:v>124.6011887564095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4-433E-9CD1-D69850E7D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236112"/>
        <c:axId val="989235280"/>
      </c:lineChart>
      <c:catAx>
        <c:axId val="882705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700832"/>
        <c:crosses val="autoZero"/>
        <c:auto val="1"/>
        <c:lblAlgn val="ctr"/>
        <c:lblOffset val="100"/>
        <c:noMultiLvlLbl val="0"/>
      </c:catAx>
      <c:valAx>
        <c:axId val="88270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705408"/>
        <c:crosses val="autoZero"/>
        <c:crossBetween val="between"/>
      </c:valAx>
      <c:valAx>
        <c:axId val="989235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236112"/>
        <c:crosses val="max"/>
        <c:crossBetween val="between"/>
      </c:valAx>
      <c:catAx>
        <c:axId val="989236112"/>
        <c:scaling>
          <c:orientation val="minMax"/>
        </c:scaling>
        <c:delete val="1"/>
        <c:axPos val="b"/>
        <c:majorTickMark val="out"/>
        <c:minorTickMark val="none"/>
        <c:tickLblPos val="nextTo"/>
        <c:crossAx val="989235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CF vs</a:t>
            </a:r>
            <a:r>
              <a:rPr lang="en-IN" baseline="0"/>
              <a:t> FVCF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 4'!$I$10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'Sc 4'!$J$10:$O$10</c:f>
              <c:numCache>
                <c:formatCode>General</c:formatCode>
                <c:ptCount val="6"/>
                <c:pt idx="0">
                  <c:v>-75</c:v>
                </c:pt>
                <c:pt idx="1">
                  <c:v>-75</c:v>
                </c:pt>
                <c:pt idx="2">
                  <c:v>-75</c:v>
                </c:pt>
                <c:pt idx="3">
                  <c:v>-75</c:v>
                </c:pt>
                <c:pt idx="4">
                  <c:v>-75</c:v>
                </c:pt>
                <c:pt idx="5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7-4213-B787-F9036AB547F2}"/>
            </c:ext>
          </c:extLst>
        </c:ser>
        <c:ser>
          <c:idx val="1"/>
          <c:order val="1"/>
          <c:tx>
            <c:strRef>
              <c:f>'Sc 4'!$I$11</c:f>
              <c:strCache>
                <c:ptCount val="1"/>
                <c:pt idx="0">
                  <c:v>FVCF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'Sc 4'!$J$11:$O$11</c:f>
              <c:numCache>
                <c:formatCode>0.0</c:formatCode>
                <c:ptCount val="6"/>
                <c:pt idx="0">
                  <c:v>-112.77425176335936</c:v>
                </c:pt>
                <c:pt idx="1">
                  <c:v>-103.93940254687499</c:v>
                </c:pt>
                <c:pt idx="2">
                  <c:v>-95.796684374999998</c:v>
                </c:pt>
                <c:pt idx="3">
                  <c:v>-88.291875000000005</c:v>
                </c:pt>
                <c:pt idx="4">
                  <c:v>-81.375</c:v>
                </c:pt>
                <c:pt idx="5">
                  <c:v>482.17721368523434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7-4213-B787-F9036AB54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694880"/>
        <c:axId val="1831699040"/>
      </c:barChart>
      <c:catAx>
        <c:axId val="18316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99040"/>
        <c:crosses val="autoZero"/>
        <c:auto val="1"/>
        <c:lblAlgn val="ctr"/>
        <c:lblOffset val="100"/>
        <c:noMultiLvlLbl val="0"/>
      </c:catAx>
      <c:valAx>
        <c:axId val="183169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94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Amortization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 7'!$A$20</c:f>
              <c:strCache>
                <c:ptCount val="1"/>
                <c:pt idx="0">
                  <c:v>Payment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'Sc 7'!$B$20:$AA$20</c:f>
              <c:numCache>
                <c:formatCode>[$$-409]#,##0.00</c:formatCode>
                <c:ptCount val="26"/>
                <c:pt idx="0">
                  <c:v>24427.920624260845</c:v>
                </c:pt>
                <c:pt idx="1">
                  <c:v>24427.920624260845</c:v>
                </c:pt>
                <c:pt idx="2">
                  <c:v>24427.920624260845</c:v>
                </c:pt>
                <c:pt idx="3">
                  <c:v>24427.920624260845</c:v>
                </c:pt>
                <c:pt idx="4">
                  <c:v>24427.920624260845</c:v>
                </c:pt>
                <c:pt idx="5">
                  <c:v>24427.920624260845</c:v>
                </c:pt>
                <c:pt idx="6">
                  <c:v>24427.920624260845</c:v>
                </c:pt>
                <c:pt idx="7">
                  <c:v>24427.920624260845</c:v>
                </c:pt>
                <c:pt idx="8">
                  <c:v>24427.920624260845</c:v>
                </c:pt>
                <c:pt idx="9">
                  <c:v>24427.920624260845</c:v>
                </c:pt>
                <c:pt idx="10">
                  <c:v>24427.920624260845</c:v>
                </c:pt>
                <c:pt idx="11">
                  <c:v>24427.920624260845</c:v>
                </c:pt>
                <c:pt idx="12">
                  <c:v>24427.920624260845</c:v>
                </c:pt>
                <c:pt idx="13">
                  <c:v>24427.920624260845</c:v>
                </c:pt>
                <c:pt idx="14">
                  <c:v>24427.920624260845</c:v>
                </c:pt>
                <c:pt idx="15">
                  <c:v>24427.920624260845</c:v>
                </c:pt>
                <c:pt idx="16">
                  <c:v>24427.920624260845</c:v>
                </c:pt>
                <c:pt idx="17">
                  <c:v>24427.920624260845</c:v>
                </c:pt>
                <c:pt idx="18">
                  <c:v>24427.920624260845</c:v>
                </c:pt>
                <c:pt idx="19">
                  <c:v>24427.920624260845</c:v>
                </c:pt>
                <c:pt idx="20">
                  <c:v>24427.920624260845</c:v>
                </c:pt>
                <c:pt idx="21">
                  <c:v>24427.920624260845</c:v>
                </c:pt>
                <c:pt idx="22">
                  <c:v>24427.920624260845</c:v>
                </c:pt>
                <c:pt idx="23">
                  <c:v>24427.920624260845</c:v>
                </c:pt>
                <c:pt idx="24">
                  <c:v>24427.920624260845</c:v>
                </c:pt>
                <c:pt idx="25">
                  <c:v>24427.920624260845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2-42B1-9DC3-126C72E26EB3}"/>
            </c:ext>
          </c:extLst>
        </c:ser>
        <c:ser>
          <c:idx val="1"/>
          <c:order val="1"/>
          <c:tx>
            <c:strRef>
              <c:f>'Sc 7'!$A$21</c:f>
              <c:strCache>
                <c:ptCount val="1"/>
                <c:pt idx="0">
                  <c:v>Interest Component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'Sc 7'!$B$21:$AA$21</c:f>
              <c:numCache>
                <c:formatCode>[$$-409]#,##0.00</c:formatCode>
                <c:ptCount val="26"/>
                <c:pt idx="0">
                  <c:v>21250</c:v>
                </c:pt>
                <c:pt idx="1">
                  <c:v>20979.876746937829</c:v>
                </c:pt>
                <c:pt idx="2">
                  <c:v>20686.793017365373</c:v>
                </c:pt>
                <c:pt idx="3">
                  <c:v>20368.79717077926</c:v>
                </c:pt>
                <c:pt idx="4">
                  <c:v>20023.771677233322</c:v>
                </c:pt>
                <c:pt idx="5">
                  <c:v>19649.419016735985</c:v>
                </c:pt>
                <c:pt idx="6">
                  <c:v>19243.246380096371</c:v>
                </c:pt>
                <c:pt idx="7">
                  <c:v>18802.549069342393</c:v>
                </c:pt>
                <c:pt idx="8">
                  <c:v>18324.392487174326</c:v>
                </c:pt>
                <c:pt idx="9">
                  <c:v>17805.592595521972</c:v>
                </c:pt>
                <c:pt idx="10">
                  <c:v>17242.694713079167</c:v>
                </c:pt>
                <c:pt idx="11">
                  <c:v>16631.950510628725</c:v>
                </c:pt>
                <c:pt idx="12">
                  <c:v>15969.293050969993</c:v>
                </c:pt>
                <c:pt idx="13">
                  <c:v>15250.309707240271</c:v>
                </c:pt>
                <c:pt idx="14">
                  <c:v>14470.212779293524</c:v>
                </c:pt>
                <c:pt idx="15">
                  <c:v>13623.807612471302</c:v>
                </c:pt>
                <c:pt idx="16">
                  <c:v>12705.458006469191</c:v>
                </c:pt>
                <c:pt idx="17">
                  <c:v>11709.0486839569</c:v>
                </c:pt>
                <c:pt idx="18">
                  <c:v>10627.944569031064</c:v>
                </c:pt>
                <c:pt idx="19">
                  <c:v>9454.9466043365337</c:v>
                </c:pt>
                <c:pt idx="20">
                  <c:v>8182.243812642967</c:v>
                </c:pt>
                <c:pt idx="21">
                  <c:v>6801.3612836554476</c:v>
                </c:pt>
                <c:pt idx="22">
                  <c:v>5303.103739703989</c:v>
                </c:pt>
                <c:pt idx="23">
                  <c:v>3677.4943045166556</c:v>
                </c:pt>
                <c:pt idx="24">
                  <c:v>1913.7080673383994</c:v>
                </c:pt>
                <c:pt idx="25">
                  <c:v>-8.6583895608782781E-12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2-42B1-9DC3-126C72E26EB3}"/>
            </c:ext>
          </c:extLst>
        </c:ser>
        <c:ser>
          <c:idx val="2"/>
          <c:order val="2"/>
          <c:tx>
            <c:strRef>
              <c:f>'Sc 7'!$A$22</c:f>
              <c:strCache>
                <c:ptCount val="1"/>
                <c:pt idx="0">
                  <c:v>Principal Component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'Sc 7'!$B$22:$AA$22</c:f>
              <c:numCache>
                <c:formatCode>[$$-409]#,##0.00</c:formatCode>
                <c:ptCount val="26"/>
                <c:pt idx="0">
                  <c:v>3177.9206242608452</c:v>
                </c:pt>
                <c:pt idx="1">
                  <c:v>3448.0438773230162</c:v>
                </c:pt>
                <c:pt idx="2">
                  <c:v>3741.1276068954721</c:v>
                </c:pt>
                <c:pt idx="3">
                  <c:v>4059.1234534815849</c:v>
                </c:pt>
                <c:pt idx="4">
                  <c:v>4404.1489470275228</c:v>
                </c:pt>
                <c:pt idx="5">
                  <c:v>4778.5016075248604</c:v>
                </c:pt>
                <c:pt idx="6">
                  <c:v>5184.6742441644747</c:v>
                </c:pt>
                <c:pt idx="7">
                  <c:v>5625.3715549184526</c:v>
                </c:pt>
                <c:pt idx="8">
                  <c:v>6103.5281370865196</c:v>
                </c:pt>
                <c:pt idx="9">
                  <c:v>6622.3280287388734</c:v>
                </c:pt>
                <c:pt idx="10">
                  <c:v>7185.2259111816784</c:v>
                </c:pt>
                <c:pt idx="11">
                  <c:v>7795.97011363212</c:v>
                </c:pt>
                <c:pt idx="12">
                  <c:v>8458.6275732908525</c:v>
                </c:pt>
                <c:pt idx="13">
                  <c:v>9177.6109170205746</c:v>
                </c:pt>
                <c:pt idx="14">
                  <c:v>9957.7078449673209</c:v>
                </c:pt>
                <c:pt idx="15">
                  <c:v>10804.113011789543</c:v>
                </c:pt>
                <c:pt idx="16">
                  <c:v>11722.462617791654</c:v>
                </c:pt>
                <c:pt idx="17">
                  <c:v>12718.871940303945</c:v>
                </c:pt>
                <c:pt idx="18">
                  <c:v>13799.976055229781</c:v>
                </c:pt>
                <c:pt idx="19">
                  <c:v>14972.974019924312</c:v>
                </c:pt>
                <c:pt idx="20">
                  <c:v>16245.676811617879</c:v>
                </c:pt>
                <c:pt idx="21">
                  <c:v>17626.559340605396</c:v>
                </c:pt>
                <c:pt idx="22">
                  <c:v>19124.816884556858</c:v>
                </c:pt>
                <c:pt idx="23">
                  <c:v>20750.426319744191</c:v>
                </c:pt>
                <c:pt idx="24">
                  <c:v>22514.212556922444</c:v>
                </c:pt>
                <c:pt idx="25">
                  <c:v>24427.920624260852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42-42B1-9DC3-126C72E26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403872"/>
        <c:axId val="991335456"/>
      </c:lineChart>
      <c:catAx>
        <c:axId val="99640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335456"/>
        <c:crosses val="autoZero"/>
        <c:auto val="1"/>
        <c:lblAlgn val="ctr"/>
        <c:lblOffset val="100"/>
        <c:noMultiLvlLbl val="0"/>
      </c:catAx>
      <c:valAx>
        <c:axId val="9913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0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Interest</a:t>
            </a:r>
            <a:r>
              <a:rPr lang="en-IN" baseline="0"/>
              <a:t> Component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'Sc 8'!$B$17:$U$17</c:f>
              <c:numCache>
                <c:formatCode>[$$-409]#,##0.0</c:formatCode>
                <c:ptCount val="20"/>
                <c:pt idx="0">
                  <c:v>18400</c:v>
                </c:pt>
                <c:pt idx="1">
                  <c:v>18048.337184665066</c:v>
                </c:pt>
                <c:pt idx="2">
                  <c:v>17664.321390319317</c:v>
                </c:pt>
                <c:pt idx="3">
                  <c:v>17244.97614289376</c:v>
                </c:pt>
                <c:pt idx="4">
                  <c:v>16787.051132705052</c:v>
                </c:pt>
                <c:pt idx="5">
                  <c:v>16286.99702157898</c:v>
                </c:pt>
                <c:pt idx="6">
                  <c:v>15740.937932229313</c:v>
                </c:pt>
                <c:pt idx="7">
                  <c:v>15144.641406659475</c:v>
                </c:pt>
                <c:pt idx="8">
                  <c:v>14493.485600737213</c:v>
                </c:pt>
                <c:pt idx="9">
                  <c:v>13782.423460670103</c:v>
                </c:pt>
                <c:pt idx="10">
                  <c:v>13005.94360371682</c:v>
                </c:pt>
                <c:pt idx="11">
                  <c:v>12158.027599923835</c:v>
                </c:pt>
                <c:pt idx="12">
                  <c:v>11232.103323781892</c:v>
                </c:pt>
                <c:pt idx="13">
                  <c:v>10220.994014234891</c:v>
                </c:pt>
                <c:pt idx="14">
                  <c:v>9116.862648209566</c:v>
                </c:pt>
                <c:pt idx="15">
                  <c:v>7911.1511965099116</c:v>
                </c:pt>
                <c:pt idx="16">
                  <c:v>6594.5142912538895</c:v>
                </c:pt>
                <c:pt idx="17">
                  <c:v>5156.7467907143136</c:v>
                </c:pt>
                <c:pt idx="18">
                  <c:v>3586.7046801250967</c:v>
                </c:pt>
                <c:pt idx="19">
                  <c:v>1872.2186953616713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9-4CD9-83FB-9492FBB9164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'Sc 8'!$B$33:$P$33</c:f>
              <c:numCache>
                <c:formatCode>[$$-409]#,##0.00</c:formatCode>
                <c:ptCount val="15"/>
                <c:pt idx="0">
                  <c:v>17800.000000000004</c:v>
                </c:pt>
                <c:pt idx="1">
                  <c:v>17188.971366112179</c:v>
                </c:pt>
                <c:pt idx="2">
                  <c:v>16523.561183808342</c:v>
                </c:pt>
                <c:pt idx="3">
                  <c:v>15798.929495279461</c:v>
                </c:pt>
                <c:pt idx="4">
                  <c:v>15009.805586471508</c:v>
                </c:pt>
                <c:pt idx="5">
                  <c:v>14150.44964977965</c:v>
                </c:pt>
                <c:pt idx="6">
                  <c:v>13214.611034722217</c:v>
                </c:pt>
                <c:pt idx="7">
                  <c:v>12195.482782924671</c:v>
                </c:pt>
                <c:pt idx="8">
                  <c:v>11085.652116717143</c:v>
                </c:pt>
                <c:pt idx="9">
                  <c:v>9877.0465212171457</c:v>
                </c:pt>
                <c:pt idx="10">
                  <c:v>8560.8750277176478</c:v>
                </c:pt>
                <c:pt idx="11">
                  <c:v>7127.5642712966965</c:v>
                </c:pt>
                <c:pt idx="12">
                  <c:v>5566.6888575542789</c:v>
                </c:pt>
                <c:pt idx="13">
                  <c:v>3866.8955319887864</c:v>
                </c:pt>
                <c:pt idx="14">
                  <c:v>2015.8206004479653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9-4CD9-83FB-9492FBB9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904608"/>
        <c:axId val="591767264"/>
      </c:scatterChart>
      <c:valAx>
        <c:axId val="62990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767264"/>
        <c:crosses val="autoZero"/>
        <c:crossBetween val="midCat"/>
      </c:valAx>
      <c:valAx>
        <c:axId val="5917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04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Principal</a:t>
            </a:r>
            <a:r>
              <a:rPr lang="en-IN" baseline="0"/>
              <a:t> Component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'Sc 8'!$B$18:$U$18</c:f>
              <c:numCache>
                <c:formatCode>[$$-409]#,##0.0</c:formatCode>
                <c:ptCount val="20"/>
                <c:pt idx="0">
                  <c:v>3822.4219058145027</c:v>
                </c:pt>
                <c:pt idx="1">
                  <c:v>4174.0847211494365</c:v>
                </c:pt>
                <c:pt idx="2">
                  <c:v>4558.1005154951854</c:v>
                </c:pt>
                <c:pt idx="3">
                  <c:v>4977.4457629207427</c:v>
                </c:pt>
                <c:pt idx="4">
                  <c:v>5435.370773109451</c:v>
                </c:pt>
                <c:pt idx="5">
                  <c:v>5935.4248842355228</c:v>
                </c:pt>
                <c:pt idx="6">
                  <c:v>6481.4839735851892</c:v>
                </c:pt>
                <c:pt idx="7">
                  <c:v>7077.7804991550274</c:v>
                </c:pt>
                <c:pt idx="8">
                  <c:v>7728.9363050772899</c:v>
                </c:pt>
                <c:pt idx="9">
                  <c:v>8439.9984451443997</c:v>
                </c:pt>
                <c:pt idx="10">
                  <c:v>9216.4783020976829</c:v>
                </c:pt>
                <c:pt idx="11">
                  <c:v>10064.394305890668</c:v>
                </c:pt>
                <c:pt idx="12">
                  <c:v>10990.318582032611</c:v>
                </c:pt>
                <c:pt idx="13">
                  <c:v>12001.427891579611</c:v>
                </c:pt>
                <c:pt idx="14">
                  <c:v>13105.559257604937</c:v>
                </c:pt>
                <c:pt idx="15">
                  <c:v>14311.27070930459</c:v>
                </c:pt>
                <c:pt idx="16">
                  <c:v>15627.907614560612</c:v>
                </c:pt>
                <c:pt idx="17">
                  <c:v>17065.675115100188</c:v>
                </c:pt>
                <c:pt idx="18">
                  <c:v>18635.717225689405</c:v>
                </c:pt>
                <c:pt idx="19">
                  <c:v>20350.20321045283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43-4D00-AB20-89762F3994D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'Sc 8'!$B$34:$P$34</c:f>
              <c:numCache>
                <c:formatCode>[$$-409]#,##0.00</c:formatCode>
                <c:ptCount val="15"/>
                <c:pt idx="0">
                  <c:v>6865.4902684025037</c:v>
                </c:pt>
                <c:pt idx="1">
                  <c:v>7476.5189022903287</c:v>
                </c:pt>
                <c:pt idx="2">
                  <c:v>8141.929084594165</c:v>
                </c:pt>
                <c:pt idx="3">
                  <c:v>8866.5607731230466</c:v>
                </c:pt>
                <c:pt idx="4">
                  <c:v>9655.6846819309994</c:v>
                </c:pt>
                <c:pt idx="5">
                  <c:v>10515.040618622857</c:v>
                </c:pt>
                <c:pt idx="6">
                  <c:v>11450.879233680291</c:v>
                </c:pt>
                <c:pt idx="7">
                  <c:v>12470.007485477836</c:v>
                </c:pt>
                <c:pt idx="8">
                  <c:v>13579.838151685364</c:v>
                </c:pt>
                <c:pt idx="9">
                  <c:v>14788.443747185362</c:v>
                </c:pt>
                <c:pt idx="10">
                  <c:v>16104.61524068486</c:v>
                </c:pt>
                <c:pt idx="11">
                  <c:v>17537.925997105813</c:v>
                </c:pt>
                <c:pt idx="12">
                  <c:v>19098.801410848228</c:v>
                </c:pt>
                <c:pt idx="13">
                  <c:v>20798.594736413721</c:v>
                </c:pt>
                <c:pt idx="14">
                  <c:v>22649.669667954542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43-4D00-AB20-89762F399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94496"/>
        <c:axId val="586494976"/>
      </c:scatterChart>
      <c:valAx>
        <c:axId val="58649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94976"/>
        <c:crosses val="autoZero"/>
        <c:crossBetween val="midCat"/>
      </c:valAx>
      <c:valAx>
        <c:axId val="5864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9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Interest</a:t>
            </a:r>
            <a:r>
              <a:rPr lang="en-IN" baseline="0"/>
              <a:t> component for Series 1(8.2%) and Series 2 (9.5%)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 9'!$B$29:$AE$29</c:f>
              <c:numCache>
                <c:formatCode>"₹"#,##0_);[Red]\("₹"#,##0\)</c:formatCode>
                <c:ptCount val="30"/>
                <c:pt idx="0">
                  <c:v>41000</c:v>
                </c:pt>
                <c:pt idx="1">
                  <c:v>40651.135061051667</c:v>
                </c:pt>
                <c:pt idx="2">
                  <c:v>40273.66319710957</c:v>
                </c:pt>
                <c:pt idx="3">
                  <c:v>39865.238640324227</c:v>
                </c:pt>
                <c:pt idx="4">
                  <c:v>39423.32326988248</c:v>
                </c:pt>
                <c:pt idx="5">
                  <c:v>38945.170839064507</c:v>
                </c:pt>
                <c:pt idx="6">
                  <c:v>38427.809908919466</c:v>
                </c:pt>
                <c:pt idx="7">
                  <c:v>37868.025382502528</c:v>
                </c:pt>
                <c:pt idx="8">
                  <c:v>37262.338524919403</c:v>
                </c:pt>
                <c:pt idx="9">
                  <c:v>36606.985345014458</c:v>
                </c:pt>
                <c:pt idx="10">
                  <c:v>35897.893204357315</c:v>
                </c:pt>
                <c:pt idx="11">
                  <c:v>35130.655508166281</c:v>
                </c:pt>
                <c:pt idx="12">
                  <c:v>34300.50432088758</c:v>
                </c:pt>
                <c:pt idx="13">
                  <c:v>33402.280736252033</c:v>
                </c:pt>
                <c:pt idx="14">
                  <c:v>32430.402817676364</c:v>
                </c:pt>
                <c:pt idx="15">
                  <c:v>31378.830909777495</c:v>
                </c:pt>
                <c:pt idx="16">
                  <c:v>30241.03010543092</c:v>
                </c:pt>
                <c:pt idx="17">
                  <c:v>29009.929635127923</c:v>
                </c:pt>
                <c:pt idx="18">
                  <c:v>27677.87892626008</c:v>
                </c:pt>
                <c:pt idx="19">
                  <c:v>26236.600059265071</c:v>
                </c:pt>
                <c:pt idx="20">
                  <c:v>24677.136325176474</c:v>
                </c:pt>
                <c:pt idx="21">
                  <c:v>22989.796564892611</c:v>
                </c:pt>
                <c:pt idx="22">
                  <c:v>21164.094944265471</c:v>
                </c:pt>
                <c:pt idx="23">
                  <c:v>19188.685790746906</c:v>
                </c:pt>
                <c:pt idx="24">
                  <c:v>17051.29308663982</c:v>
                </c:pt>
                <c:pt idx="25">
                  <c:v>14738.634180795954</c:v>
                </c:pt>
                <c:pt idx="26">
                  <c:v>12236.337244672888</c:v>
                </c:pt>
                <c:pt idx="27">
                  <c:v>9528.851959787733</c:v>
                </c:pt>
                <c:pt idx="28">
                  <c:v>6599.3528815419941</c:v>
                </c:pt>
                <c:pt idx="29">
                  <c:v>3429.6348788801047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3-46C1-A372-9DDE4FFFB76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 9'!$B$30:$AE$30</c:f>
              <c:numCache>
                <c:formatCode>"₹"#,##0_);[Red]\("₹"#,##0\)</c:formatCode>
                <c:ptCount val="30"/>
                <c:pt idx="0">
                  <c:v>47500</c:v>
                </c:pt>
                <c:pt idx="1">
                  <c:v>47182.672238452069</c:v>
                </c:pt>
                <c:pt idx="2">
                  <c:v>46835.198339557079</c:v>
                </c:pt>
                <c:pt idx="3">
                  <c:v>46454.714420267061</c:v>
                </c:pt>
                <c:pt idx="4">
                  <c:v>46038.084528644496</c:v>
                </c:pt>
                <c:pt idx="5">
                  <c:v>45581.874797317781</c:v>
                </c:pt>
                <c:pt idx="6">
                  <c:v>45082.325141515037</c:v>
                </c:pt>
                <c:pt idx="7">
                  <c:v>44535.318268411029</c:v>
                </c:pt>
                <c:pt idx="8">
                  <c:v>43936.345742362137</c:v>
                </c:pt>
                <c:pt idx="9">
                  <c:v>43280.470826338606</c:v>
                </c:pt>
                <c:pt idx="10">
                  <c:v>42562.287793292831</c:v>
                </c:pt>
                <c:pt idx="11">
                  <c:v>41775.877372107716</c:v>
                </c:pt>
                <c:pt idx="12">
                  <c:v>40914.757960910014</c:v>
                </c:pt>
                <c:pt idx="13">
                  <c:v>39971.832205648527</c:v>
                </c:pt>
                <c:pt idx="14">
                  <c:v>38939.328503637204</c:v>
                </c:pt>
                <c:pt idx="15">
                  <c:v>37808.736949934799</c:v>
                </c:pt>
                <c:pt idx="16">
                  <c:v>36570.739198630668</c:v>
                </c:pt>
                <c:pt idx="17">
                  <c:v>35215.131660952648</c:v>
                </c:pt>
                <c:pt idx="18">
                  <c:v>33730.741407195215</c:v>
                </c:pt>
                <c:pt idx="19">
                  <c:v>32105.334079330816</c:v>
                </c:pt>
                <c:pt idx="20">
                  <c:v>30325.513055319308</c:v>
                </c:pt>
                <c:pt idx="21">
                  <c:v>28376.609034026707</c:v>
                </c:pt>
                <c:pt idx="22">
                  <c:v>26242.559130711306</c:v>
                </c:pt>
                <c:pt idx="23">
                  <c:v>23905.774486580944</c:v>
                </c:pt>
                <c:pt idx="24">
                  <c:v>21346.995301258197</c:v>
                </c:pt>
                <c:pt idx="25">
                  <c:v>18545.132093329787</c:v>
                </c:pt>
                <c:pt idx="26">
                  <c:v>15477.091880648179</c:v>
                </c:pt>
                <c:pt idx="27">
                  <c:v>12117.587847761821</c:v>
                </c:pt>
                <c:pt idx="28">
                  <c:v>8438.9309317512561</c:v>
                </c:pt>
                <c:pt idx="29">
                  <c:v>4410.8016087196875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3-46C1-A372-9DDE4FFFB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127520"/>
        <c:axId val="1763130016"/>
      </c:lineChart>
      <c:catAx>
        <c:axId val="176312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30016"/>
        <c:crosses val="autoZero"/>
        <c:auto val="1"/>
        <c:lblAlgn val="ctr"/>
        <c:lblOffset val="100"/>
        <c:noMultiLvlLbl val="0"/>
      </c:catAx>
      <c:valAx>
        <c:axId val="17631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2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Principal Component</a:t>
            </a:r>
            <a:r>
              <a:rPr lang="en-IN" baseline="0"/>
              <a:t> for Series 1(8.2%) and Series 2(9.5%)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 9'!$B$35:$AE$35</c:f>
              <c:numCache>
                <c:formatCode>"₹"#,##0_);[Red]\("₹"#,##0\)</c:formatCode>
                <c:ptCount val="30"/>
                <c:pt idx="0">
                  <c:v>4254.4504749796688</c:v>
                </c:pt>
                <c:pt idx="1">
                  <c:v>4603.3154139280014</c:v>
                </c:pt>
                <c:pt idx="2">
                  <c:v>4980.7872778700985</c:v>
                </c:pt>
                <c:pt idx="3">
                  <c:v>5389.2118346554416</c:v>
                </c:pt>
                <c:pt idx="4">
                  <c:v>5831.1272050971893</c:v>
                </c:pt>
                <c:pt idx="5">
                  <c:v>6309.2796359151616</c:v>
                </c:pt>
                <c:pt idx="6">
                  <c:v>6826.6405660602031</c:v>
                </c:pt>
                <c:pt idx="7">
                  <c:v>7386.4250924771404</c:v>
                </c:pt>
                <c:pt idx="8">
                  <c:v>7992.1119500602654</c:v>
                </c:pt>
                <c:pt idx="9">
                  <c:v>8647.4651299652105</c:v>
                </c:pt>
                <c:pt idx="10">
                  <c:v>9356.5572706223538</c:v>
                </c:pt>
                <c:pt idx="11">
                  <c:v>10123.794966813388</c:v>
                </c:pt>
                <c:pt idx="12">
                  <c:v>10953.946154092089</c:v>
                </c:pt>
                <c:pt idx="13">
                  <c:v>11852.169738727636</c:v>
                </c:pt>
                <c:pt idx="14">
                  <c:v>12824.047657303305</c:v>
                </c:pt>
                <c:pt idx="15">
                  <c:v>13875.619565202174</c:v>
                </c:pt>
                <c:pt idx="16">
                  <c:v>15013.420369548749</c:v>
                </c:pt>
                <c:pt idx="17">
                  <c:v>16244.520839851746</c:v>
                </c:pt>
                <c:pt idx="18">
                  <c:v>17576.571548719588</c:v>
                </c:pt>
                <c:pt idx="19">
                  <c:v>19017.850415714598</c:v>
                </c:pt>
                <c:pt idx="20">
                  <c:v>20577.314149803195</c:v>
                </c:pt>
                <c:pt idx="21">
                  <c:v>22264.653910087058</c:v>
                </c:pt>
                <c:pt idx="22">
                  <c:v>24090.355530714198</c:v>
                </c:pt>
                <c:pt idx="23">
                  <c:v>26065.764684232763</c:v>
                </c:pt>
                <c:pt idx="24">
                  <c:v>28203.157388339849</c:v>
                </c:pt>
                <c:pt idx="25">
                  <c:v>30515.816294183714</c:v>
                </c:pt>
                <c:pt idx="26">
                  <c:v>33018.113230306779</c:v>
                </c:pt>
                <c:pt idx="27">
                  <c:v>35725.598515191938</c:v>
                </c:pt>
                <c:pt idx="28">
                  <c:v>38655.097593437677</c:v>
                </c:pt>
                <c:pt idx="29">
                  <c:v>41824.815596099565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C-4EE3-AED8-D5EE7AA3155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 9'!$B$36:$AE$36</c:f>
              <c:numCache>
                <c:formatCode>"₹"#,##0_);[Red]\("₹"#,##0\)</c:formatCode>
                <c:ptCount val="30"/>
                <c:pt idx="0">
                  <c:v>3340.2922268203911</c:v>
                </c:pt>
                <c:pt idx="1">
                  <c:v>3657.6199883683221</c:v>
                </c:pt>
                <c:pt idx="2">
                  <c:v>4005.0938872633124</c:v>
                </c:pt>
                <c:pt idx="3">
                  <c:v>4385.5778065533304</c:v>
                </c:pt>
                <c:pt idx="4">
                  <c:v>4802.2076981758946</c:v>
                </c:pt>
                <c:pt idx="5">
                  <c:v>5258.4174295026096</c:v>
                </c:pt>
                <c:pt idx="6">
                  <c:v>5757.967085305354</c:v>
                </c:pt>
                <c:pt idx="7">
                  <c:v>6304.9739584093622</c:v>
                </c:pt>
                <c:pt idx="8">
                  <c:v>6903.9464844582544</c:v>
                </c:pt>
                <c:pt idx="9">
                  <c:v>7559.8214004817855</c:v>
                </c:pt>
                <c:pt idx="10">
                  <c:v>8278.0044335275597</c:v>
                </c:pt>
                <c:pt idx="11">
                  <c:v>9064.4148547126752</c:v>
                </c:pt>
                <c:pt idx="12">
                  <c:v>9925.5342659103771</c:v>
                </c:pt>
                <c:pt idx="13">
                  <c:v>10868.460021171864</c:v>
                </c:pt>
                <c:pt idx="14">
                  <c:v>11900.963723183188</c:v>
                </c:pt>
                <c:pt idx="15">
                  <c:v>13031.555276885592</c:v>
                </c:pt>
                <c:pt idx="16">
                  <c:v>14269.553028189723</c:v>
                </c:pt>
                <c:pt idx="17">
                  <c:v>15625.160565867744</c:v>
                </c:pt>
                <c:pt idx="18">
                  <c:v>17109.550819625176</c:v>
                </c:pt>
                <c:pt idx="19">
                  <c:v>18734.958147489575</c:v>
                </c:pt>
                <c:pt idx="20">
                  <c:v>20514.779171501083</c:v>
                </c:pt>
                <c:pt idx="21">
                  <c:v>22463.683192793684</c:v>
                </c:pt>
                <c:pt idx="22">
                  <c:v>24597.733096109085</c:v>
                </c:pt>
                <c:pt idx="23">
                  <c:v>26934.517740239447</c:v>
                </c:pt>
                <c:pt idx="24">
                  <c:v>29493.296925562194</c:v>
                </c:pt>
                <c:pt idx="25">
                  <c:v>32295.160133490604</c:v>
                </c:pt>
                <c:pt idx="26">
                  <c:v>35363.200346172212</c:v>
                </c:pt>
                <c:pt idx="27">
                  <c:v>38722.704379058574</c:v>
                </c:pt>
                <c:pt idx="28">
                  <c:v>42401.361295069131</c:v>
                </c:pt>
                <c:pt idx="29">
                  <c:v>46429.490618100703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3C-4EE3-AED8-D5EE7AA31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124608"/>
        <c:axId val="1763132096"/>
      </c:lineChart>
      <c:catAx>
        <c:axId val="1763124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32096"/>
        <c:crosses val="autoZero"/>
        <c:auto val="1"/>
        <c:lblAlgn val="ctr"/>
        <c:lblOffset val="100"/>
        <c:noMultiLvlLbl val="0"/>
      </c:catAx>
      <c:valAx>
        <c:axId val="17631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2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Bond</a:t>
            </a:r>
            <a:r>
              <a:rPr lang="en-US" baseline="0"/>
              <a:t> price by Yield to Maturity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742507570312303E-2"/>
          <c:y val="0.11053823343300619"/>
          <c:w val="0.91748137066090185"/>
          <c:h val="0.8418789367677043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'[1]B.P. EAR APR'!$B$38:$U$38</c:f>
              <c:numCache>
                <c:formatCode>General</c:formatCode>
                <c:ptCount val="2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2-4376-8FDB-C4C6FA18BC5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'[1]B.P. EAR APR'!$B$39:$U$39</c:f>
              <c:numCache>
                <c:formatCode>General</c:formatCode>
                <c:ptCount val="20"/>
                <c:pt idx="0">
                  <c:v>1086.9610704044258</c:v>
                </c:pt>
                <c:pt idx="1">
                  <c:v>1076.5167775176878</c:v>
                </c:pt>
                <c:pt idx="2">
                  <c:v>1037.4296253996708</c:v>
                </c:pt>
                <c:pt idx="3">
                  <c:v>1000</c:v>
                </c:pt>
                <c:pt idx="4">
                  <c:v>964.14931416261834</c:v>
                </c:pt>
                <c:pt idx="5">
                  <c:v>929.80307810464524</c:v>
                </c:pt>
                <c:pt idx="6">
                  <c:v>896.89066694982159</c:v>
                </c:pt>
                <c:pt idx="7">
                  <c:v>865.34510250099186</c:v>
                </c:pt>
                <c:pt idx="8">
                  <c:v>835.10284831603212</c:v>
                </c:pt>
                <c:pt idx="9">
                  <c:v>806.10361721721222</c:v>
                </c:pt>
                <c:pt idx="10">
                  <c:v>778.29019042471691</c:v>
                </c:pt>
                <c:pt idx="11">
                  <c:v>751.60824756121769</c:v>
                </c:pt>
                <c:pt idx="12">
                  <c:v>726.00620682649594</c:v>
                </c:pt>
                <c:pt idx="13">
                  <c:v>701.43507468931318</c:v>
                </c:pt>
                <c:pt idx="14">
                  <c:v>677.84830448847845</c:v>
                </c:pt>
                <c:pt idx="15">
                  <c:v>655.20166337648175</c:v>
                </c:pt>
                <c:pt idx="16">
                  <c:v>633.45310707755982</c:v>
                </c:pt>
                <c:pt idx="17">
                  <c:v>612.56266196770855</c:v>
                </c:pt>
                <c:pt idx="18">
                  <c:v>592.49231401731231</c:v>
                </c:pt>
                <c:pt idx="19">
                  <c:v>573.20590416778657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2-4376-8FDB-C4C6FA18B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152224"/>
        <c:axId val="949728080"/>
      </c:scatterChart>
      <c:valAx>
        <c:axId val="190815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28080"/>
        <c:crosses val="autoZero"/>
        <c:crossBetween val="midCat"/>
      </c:valAx>
      <c:valAx>
        <c:axId val="9497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152224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B$3" max="30000" page="10" val="2500"/>
</file>

<file path=xl/ctrlProps/ctrlProp2.xml><?xml version="1.0" encoding="utf-8"?>
<formControlPr xmlns="http://schemas.microsoft.com/office/spreadsheetml/2009/9/main" objectType="Spin" dx="26" fmlaLink="$B$5" max="30000" min="1" page="10" val="5"/>
</file>

<file path=xl/ctrlProps/ctrlProp3.xml><?xml version="1.0" encoding="utf-8"?>
<formControlPr xmlns="http://schemas.microsoft.com/office/spreadsheetml/2009/9/main" objectType="Spin" dx="26" fmlaLink="$D$6" inc="10" max="30000" page="10" val="650"/>
</file>

<file path=xl/ctrlProps/ctrlProp4.xml><?xml version="1.0" encoding="utf-8"?>
<formControlPr xmlns="http://schemas.microsoft.com/office/spreadsheetml/2009/9/main" objectType="Spin" dx="26" fmlaLink="$B$4" max="30000" page="10" val="0"/>
</file>

<file path=xl/ctrlProps/ctrlProp5.xml><?xml version="1.0" encoding="utf-8"?>
<formControlPr xmlns="http://schemas.microsoft.com/office/spreadsheetml/2009/9/main" objectType="Spin" dx="26" fmlaLink="$B$5" max="30000" page="10" val="6"/>
</file>

<file path=xl/ctrlProps/ctrlProp6.xml><?xml version="1.0" encoding="utf-8"?>
<formControlPr xmlns="http://schemas.microsoft.com/office/spreadsheetml/2009/9/main" objectType="Spin" dx="26" fmlaLink="$B$4" inc="100" max="30000" page="10" val="1200"/>
</file>

<file path=xl/ctrlProps/ctrlProp7.xml><?xml version="1.0" encoding="utf-8"?>
<formControlPr xmlns="http://schemas.microsoft.com/office/spreadsheetml/2009/9/main" objectType="Spin" dx="26" fmlaLink="$D$6" max="30000" page="10" val="420"/>
</file>

<file path=xl/ctrlProps/ctrlProp8.xml><?xml version="1.0" encoding="utf-8"?>
<formControlPr xmlns="http://schemas.microsoft.com/office/spreadsheetml/2009/9/main" objectType="Spin" dx="26" fmlaLink="$B$3" max="30000" page="10" val="0"/>
</file>

<file path=xl/ctrlProps/ctrlProp9.xml><?xml version="1.0" encoding="utf-8"?>
<formControlPr xmlns="http://schemas.microsoft.com/office/spreadsheetml/2009/9/main" objectType="Spin" dx="26" fmlaLink="$D$4" max="30000" page="10" val="371"/>
</file>

<file path=xl/ctrlProps/ctrlProp10.xml><?xml version="1.0" encoding="utf-8"?>
<formControlPr xmlns="http://schemas.microsoft.com/office/spreadsheetml/2009/9/main" objectType="Spin" dx="26" fmlaLink="$B$5" max="30000" min="1" page="10" val="8"/>
</file>

<file path=xl/ctrlProps/ctrlProp11.xml><?xml version="1.0" encoding="utf-8"?>
<formControlPr xmlns="http://schemas.microsoft.com/office/spreadsheetml/2009/9/main" objectType="Spin" dx="26" fmlaLink="$D$6" max="30000" page="10" val="510"/>
</file>

<file path=xl/ctrlProps/ctrlProp12.xml><?xml version="1.0" encoding="utf-8"?>
<formControlPr xmlns="http://schemas.microsoft.com/office/spreadsheetml/2009/9/main" objectType="Spin" dx="26" fmlaLink="$B$3" inc="100" max="30000" page="10" val="0"/>
</file>

<file path=xl/ctrlProps/ctrlProp13.xml><?xml version="1.0" encoding="utf-8"?>
<formControlPr xmlns="http://schemas.microsoft.com/office/spreadsheetml/2009/9/main" objectType="Spin" dx="26" fmlaLink="$D$4" max="30000" page="10" val="75"/>
</file>

<file path=xl/ctrlProps/ctrlProp14.xml><?xml version="1.0" encoding="utf-8"?>
<formControlPr xmlns="http://schemas.microsoft.com/office/spreadsheetml/2009/9/main" objectType="Spin" dx="26" fmlaLink="$B$5" max="30000" page="10" val="6"/>
</file>

<file path=xl/ctrlProps/ctrlProp15.xml><?xml version="1.0" encoding="utf-8"?>
<formControlPr xmlns="http://schemas.microsoft.com/office/spreadsheetml/2009/9/main" objectType="Spin" dx="26" fmlaLink="$E$6" max="30000" page="10" val="17"/>
</file>

<file path=xl/ctrlProps/ctrlProp16.xml><?xml version="1.0" encoding="utf-8"?>
<formControlPr xmlns="http://schemas.microsoft.com/office/spreadsheetml/2009/9/main" objectType="Spin" dx="26" fmlaLink="$D$4" max="30000" page="10" val="70"/>
</file>

<file path=xl/ctrlProps/ctrlProp17.xml><?xml version="1.0" encoding="utf-8"?>
<formControlPr xmlns="http://schemas.microsoft.com/office/spreadsheetml/2009/9/main" objectType="Spin" dx="26" fmlaLink="$D$4" inc="10" max="30000" page="10" val="312"/>
</file>

<file path=xl/ctrlProps/ctrlProp18.xml><?xml version="1.0" encoding="utf-8"?>
<formControlPr xmlns="http://schemas.microsoft.com/office/spreadsheetml/2009/9/main" objectType="Spin" dx="26" fmlaLink="$D$5" inc="10" max="30000" page="10" val="90"/>
</file>

<file path=xl/ctrlProps/ctrlProp19.xml><?xml version="1.0" encoding="utf-8"?>
<formControlPr xmlns="http://schemas.microsoft.com/office/spreadsheetml/2009/9/main" objectType="Spin" dx="26" fmlaLink="$D$6" max="30000" page="10" val="1238"/>
</file>

<file path=xl/ctrlProps/ctrlProp20.xml><?xml version="1.0" encoding="utf-8"?>
<formControlPr xmlns="http://schemas.microsoft.com/office/spreadsheetml/2009/9/main" objectType="Spin" dx="26" fmlaLink="$C$5" inc="10" max="30000" page="10" val="850"/>
</file>

<file path=xl/ctrlProps/ctrlProp21.xml><?xml version="1.0" encoding="utf-8"?>
<formControlPr xmlns="http://schemas.microsoft.com/office/spreadsheetml/2009/9/main" objectType="Spin" dx="26" fmlaLink="$C$4" max="30000" page="10" val="25"/>
</file>

<file path=xl/ctrlProps/ctrlProp22.xml><?xml version="1.0" encoding="utf-8"?>
<formControlPr xmlns="http://schemas.microsoft.com/office/spreadsheetml/2009/9/main" objectType="Spin" dx="26" fmlaLink="$B$6" max="30000" page="10" val="25"/>
</file>

<file path=xl/ctrlProps/ctrlProp23.xml><?xml version="1.0" encoding="utf-8"?>
<formControlPr xmlns="http://schemas.microsoft.com/office/spreadsheetml/2009/9/main" objectType="Spin" dx="31" fmlaLink="$D$7" inc="10" max="30000" page="10" val="920"/>
</file>

<file path=xl/ctrlProps/ctrlProp24.xml><?xml version="1.0" encoding="utf-8"?>
<formControlPr xmlns="http://schemas.microsoft.com/office/spreadsheetml/2009/9/main" objectType="Spin" dx="31" fmlaLink="$B$8" max="300" page="10" val="20"/>
</file>

<file path=xl/ctrlProps/ctrlProp25.xml><?xml version="1.0" encoding="utf-8"?>
<formControlPr xmlns="http://schemas.microsoft.com/office/spreadsheetml/2009/9/main" objectType="Spin" dx="31" fmlaLink="$D$6" inc="10" max="30000" page="10" val="20"/>
</file>

<file path=xl/ctrlProps/ctrlProp26.xml><?xml version="1.0" encoding="utf-8"?>
<formControlPr xmlns="http://schemas.microsoft.com/office/spreadsheetml/2009/9/main" objectType="Spin" dx="31" fmlaLink="$D$23" inc="10" max="3000" page="10" val="890"/>
</file>

<file path=xl/ctrlProps/ctrlProp27.xml><?xml version="1.0" encoding="utf-8"?>
<formControlPr xmlns="http://schemas.microsoft.com/office/spreadsheetml/2009/9/main" objectType="Spin" dx="31" fmlaLink="$B$24" max="300" page="10" val="15"/>
</file>

<file path=xl/ctrlProps/ctrlProp28.xml><?xml version="1.0" encoding="utf-8"?>
<formControlPr xmlns="http://schemas.microsoft.com/office/spreadsheetml/2009/9/main" objectType="Spin" dx="31" fmlaLink="$D$22" inc="10" max="30000" page="10" val="20"/>
</file>

<file path=xl/ctrlProps/ctrlProp29.xml><?xml version="1.0" encoding="utf-8"?>
<formControlPr xmlns="http://schemas.microsoft.com/office/spreadsheetml/2009/9/main" objectType="Spin" dx="15" fmlaLink="$C$4" inc="10" max="30000" page="10" val="1000"/>
</file>

<file path=xl/ctrlProps/ctrlProp30.xml><?xml version="1.0" encoding="utf-8"?>
<formControlPr xmlns="http://schemas.microsoft.com/office/spreadsheetml/2009/9/main" objectType="Spin" dx="15" fmlaLink="$C$5" max="30000" page="10" val="15"/>
</file>

<file path=xl/ctrlProps/ctrlProp31.xml><?xml version="1.0" encoding="utf-8"?>
<formControlPr xmlns="http://schemas.microsoft.com/office/spreadsheetml/2009/9/main" objectType="Spin" dx="15" fmlaLink="$C$6" inc="25" max="10000" page="10" val="550"/>
</file>

<file path=xl/ctrlProps/ctrlProp32.xml><?xml version="1.0" encoding="utf-8"?>
<formControlPr xmlns="http://schemas.microsoft.com/office/spreadsheetml/2009/9/main" objectType="Spin" dx="15" fmlaLink="$C$7" max="30000" page="10" val="10"/>
</file>

<file path=xl/ctrlProps/ctrlProp33.xml><?xml version="1.0" encoding="utf-8"?>
<formControlPr xmlns="http://schemas.microsoft.com/office/spreadsheetml/2009/9/main" objectType="Spin" dx="15" fmlaLink="$C$7" inc="10" max="10000" page="10" val="580"/>
</file>

<file path=xl/ctrlProps/ctrlProp34.xml><?xml version="1.0" encoding="utf-8"?>
<formControlPr xmlns="http://schemas.microsoft.com/office/spreadsheetml/2009/9/main" objectType="Spin" dx="15" fmlaLink="$C$8" max="10000" page="10" val="400"/>
</file>

<file path=xl/ctrlProps/ctrlProp35.xml><?xml version="1.0" encoding="utf-8"?>
<formControlPr xmlns="http://schemas.microsoft.com/office/spreadsheetml/2009/9/main" objectType="Spin" dx="15" fmlaLink="$C$9" max="30000" page="10" val="2"/>
</file>

<file path=xl/ctrlProps/ctrlProp36.xml><?xml version="1.0" encoding="utf-8"?>
<formControlPr xmlns="http://schemas.microsoft.com/office/spreadsheetml/2009/9/main" objectType="Spin" dx="15" fmlaLink="$C$10" max="30000" page="10" val="10"/>
</file>

<file path=xl/ctrlProps/ctrlProp37.xml><?xml version="1.0" encoding="utf-8"?>
<formControlPr xmlns="http://schemas.microsoft.com/office/spreadsheetml/2009/9/main" objectType="Spin" dx="15" fmlaLink="$C$11" inc="10" max="30000" page="10" val="1000"/>
</file>

<file path=xl/ctrlProps/ctrlProp38.xml><?xml version="1.0" encoding="utf-8"?>
<formControlPr xmlns="http://schemas.microsoft.com/office/spreadsheetml/2009/9/main" objectType="Radio" checked="Checked" firstButton="1" fmlaLink="$C$6" lockText="1"/>
</file>

<file path=xl/ctrlProps/ctrlProp39.xml><?xml version="1.0" encoding="utf-8"?>
<formControlPr xmlns="http://schemas.microsoft.com/office/spreadsheetml/2009/9/main" objectType="Radio" lockText="1" noThreeD="1"/>
</file>

<file path=xl/ctrlProps/ctrlProp40.xml><?xml version="1.0" encoding="utf-8"?>
<formControlPr xmlns="http://schemas.microsoft.com/office/spreadsheetml/2009/9/main" objectType="Spin" dx="15" fmlaLink="$C$5" inc="10" max="10000" page="10" val="580"/>
</file>

<file path=xl/ctrlProps/ctrlProp41.xml><?xml version="1.0" encoding="utf-8"?>
<formControlPr xmlns="http://schemas.microsoft.com/office/spreadsheetml/2009/9/main" objectType="Spin" dx="15" fmlaLink="$C$6" max="10000" page="10" val="400"/>
</file>

<file path=xl/ctrlProps/ctrlProp42.xml><?xml version="1.0" encoding="utf-8"?>
<formControlPr xmlns="http://schemas.microsoft.com/office/spreadsheetml/2009/9/main" objectType="Spin" dx="15" fmlaLink="$C$7" max="30000" page="10" val="2"/>
</file>

<file path=xl/ctrlProps/ctrlProp43.xml><?xml version="1.0" encoding="utf-8"?>
<formControlPr xmlns="http://schemas.microsoft.com/office/spreadsheetml/2009/9/main" objectType="Spin" dx="15" fmlaLink="$C$8" max="30000" page="10" val="10"/>
</file>

<file path=xl/ctrlProps/ctrlProp44.xml><?xml version="1.0" encoding="utf-8"?>
<formControlPr xmlns="http://schemas.microsoft.com/office/spreadsheetml/2009/9/main" objectType="Spin" dx="15" fmlaLink="$C$9" inc="10" max="30000" page="10" val="1000"/>
</file>

<file path=xl/ctrlProps/ctrlProp45.xml><?xml version="1.0" encoding="utf-8"?>
<formControlPr xmlns="http://schemas.microsoft.com/office/spreadsheetml/2009/9/main" objectType="Radio" checked="Checked" firstButton="1" fmlaLink="$C$4" lockText="1"/>
</file>

<file path=xl/ctrlProps/ctrlProp46.xml><?xml version="1.0" encoding="utf-8"?>
<formControlPr xmlns="http://schemas.microsoft.com/office/spreadsheetml/2009/9/main" objectType="Radio" lockText="1" noThreeD="1"/>
</file>

<file path=xl/ctrlProps/ctrlProp47.xml><?xml version="1.0" encoding="utf-8"?>
<formControlPr xmlns="http://schemas.microsoft.com/office/spreadsheetml/2009/9/main" objectType="Spin" dx="15" fmlaLink="$C$5" inc="10" max="10000" page="10" val="450"/>
</file>

<file path=xl/ctrlProps/ctrlProp48.xml><?xml version="1.0" encoding="utf-8"?>
<formControlPr xmlns="http://schemas.microsoft.com/office/spreadsheetml/2009/9/main" objectType="Spin" dx="15" fmlaLink="$C$6" max="10000" page="10" val="350"/>
</file>

<file path=xl/ctrlProps/ctrlProp49.xml><?xml version="1.0" encoding="utf-8"?>
<formControlPr xmlns="http://schemas.microsoft.com/office/spreadsheetml/2009/9/main" objectType="Spin" dx="15" fmlaLink="$C$7" max="30000" page="10" val="2"/>
</file>

<file path=xl/ctrlProps/ctrlProp50.xml><?xml version="1.0" encoding="utf-8"?>
<formControlPr xmlns="http://schemas.microsoft.com/office/spreadsheetml/2009/9/main" objectType="Spin" dx="15" fmlaLink="$C$8" max="30000" page="10" val="12"/>
</file>

<file path=xl/ctrlProps/ctrlProp51.xml><?xml version="1.0" encoding="utf-8"?>
<formControlPr xmlns="http://schemas.microsoft.com/office/spreadsheetml/2009/9/main" objectType="Spin" dx="15" fmlaLink="$C$9" inc="10" max="30000" page="10" val="1000"/>
</file>

<file path=xl/ctrlProps/ctrlProp52.xml><?xml version="1.0" encoding="utf-8"?>
<formControlPr xmlns="http://schemas.microsoft.com/office/spreadsheetml/2009/9/main" objectType="Radio" firstButton="1" fmlaLink="$C$4" lockText="1"/>
</file>

<file path=xl/ctrlProps/ctrlProp53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4</xdr:row>
      <xdr:rowOff>11430</xdr:rowOff>
    </xdr:from>
    <xdr:to>
      <xdr:col>12</xdr:col>
      <xdr:colOff>594360</xdr:colOff>
      <xdr:row>13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2</xdr:row>
          <xdr:rowOff>53340</xdr:rowOff>
        </xdr:from>
        <xdr:to>
          <xdr:col>2</xdr:col>
          <xdr:colOff>518160</xdr:colOff>
          <xdr:row>2</xdr:row>
          <xdr:rowOff>266700</xdr:rowOff>
        </xdr:to>
        <xdr:sp macro="" textlink="">
          <xdr:nvSpPr>
            <xdr:cNvPr id="11265" name="Spinner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129540</xdr:colOff>
          <xdr:row>3</xdr:row>
          <xdr:rowOff>167640</xdr:rowOff>
        </xdr:from>
        <xdr:to>
          <xdr:col>2</xdr:col>
          <xdr:colOff>533400</xdr:colOff>
          <xdr:row>3</xdr:row>
          <xdr:rowOff>381000</xdr:rowOff>
        </xdr:to>
        <xdr:sp macro="" textlink="">
          <xdr:nvSpPr>
            <xdr:cNvPr id="11266" name="Spinner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4</xdr:row>
          <xdr:rowOff>160020</xdr:rowOff>
        </xdr:from>
        <xdr:to>
          <xdr:col>2</xdr:col>
          <xdr:colOff>525780</xdr:colOff>
          <xdr:row>4</xdr:row>
          <xdr:rowOff>373380</xdr:rowOff>
        </xdr:to>
        <xdr:sp macro="" textlink="">
          <xdr:nvSpPr>
            <xdr:cNvPr id="11267" name="Spinner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0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5</xdr:row>
          <xdr:rowOff>137160</xdr:rowOff>
        </xdr:from>
        <xdr:to>
          <xdr:col>2</xdr:col>
          <xdr:colOff>518160</xdr:colOff>
          <xdr:row>5</xdr:row>
          <xdr:rowOff>350520</xdr:rowOff>
        </xdr:to>
        <xdr:sp macro="" textlink="">
          <xdr:nvSpPr>
            <xdr:cNvPr id="11268" name="Spinner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</xdr:colOff>
          <xdr:row>4</xdr:row>
          <xdr:rowOff>83820</xdr:rowOff>
        </xdr:from>
        <xdr:to>
          <xdr:col>2</xdr:col>
          <xdr:colOff>548640</xdr:colOff>
          <xdr:row>4</xdr:row>
          <xdr:rowOff>236220</xdr:rowOff>
        </xdr:to>
        <xdr:sp macro="" textlink="">
          <xdr:nvSpPr>
            <xdr:cNvPr id="1035" name="Spinne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2C914CF-03A5-4DA0-892C-363398991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</xdr:colOff>
          <xdr:row>3</xdr:row>
          <xdr:rowOff>83820</xdr:rowOff>
        </xdr:from>
        <xdr:to>
          <xdr:col>2</xdr:col>
          <xdr:colOff>548640</xdr:colOff>
          <xdr:row>3</xdr:row>
          <xdr:rowOff>236220</xdr:rowOff>
        </xdr:to>
        <xdr:sp macro="" textlink="">
          <xdr:nvSpPr>
            <xdr:cNvPr id="1036" name="Spinne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552B945-1DEA-451D-9767-077C0D9EA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60960</xdr:colOff>
          <xdr:row>5</xdr:row>
          <xdr:rowOff>76200</xdr:rowOff>
        </xdr:from>
        <xdr:to>
          <xdr:col>2</xdr:col>
          <xdr:colOff>541020</xdr:colOff>
          <xdr:row>5</xdr:row>
          <xdr:rowOff>228600</xdr:rowOff>
        </xdr:to>
        <xdr:sp macro="" textlink="">
          <xdr:nvSpPr>
            <xdr:cNvPr id="1037" name="Spinne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63D360D3-1F92-4473-B362-CF79C7578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19877</xdr:colOff>
      <xdr:row>4</xdr:row>
      <xdr:rowOff>76201</xdr:rowOff>
    </xdr:from>
    <xdr:to>
      <xdr:col>15</xdr:col>
      <xdr:colOff>424069</xdr:colOff>
      <xdr:row>13</xdr:row>
      <xdr:rowOff>79514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2</xdr:row>
          <xdr:rowOff>60960</xdr:rowOff>
        </xdr:from>
        <xdr:to>
          <xdr:col>2</xdr:col>
          <xdr:colOff>533400</xdr:colOff>
          <xdr:row>2</xdr:row>
          <xdr:rowOff>281940</xdr:rowOff>
        </xdr:to>
        <xdr:sp macro="" textlink="">
          <xdr:nvSpPr>
            <xdr:cNvPr id="12289" name="Spinne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2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3</xdr:row>
          <xdr:rowOff>60960</xdr:rowOff>
        </xdr:from>
        <xdr:to>
          <xdr:col>2</xdr:col>
          <xdr:colOff>533400</xdr:colOff>
          <xdr:row>3</xdr:row>
          <xdr:rowOff>281940</xdr:rowOff>
        </xdr:to>
        <xdr:sp macro="" textlink="">
          <xdr:nvSpPr>
            <xdr:cNvPr id="12290" name="Spinner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2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4</xdr:row>
          <xdr:rowOff>60960</xdr:rowOff>
        </xdr:from>
        <xdr:to>
          <xdr:col>2</xdr:col>
          <xdr:colOff>533400</xdr:colOff>
          <xdr:row>4</xdr:row>
          <xdr:rowOff>281940</xdr:rowOff>
        </xdr:to>
        <xdr:sp macro="" textlink="">
          <xdr:nvSpPr>
            <xdr:cNvPr id="12291" name="Spinner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2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5</xdr:row>
          <xdr:rowOff>60960</xdr:rowOff>
        </xdr:from>
        <xdr:to>
          <xdr:col>2</xdr:col>
          <xdr:colOff>533400</xdr:colOff>
          <xdr:row>5</xdr:row>
          <xdr:rowOff>281940</xdr:rowOff>
        </xdr:to>
        <xdr:sp macro="" textlink="">
          <xdr:nvSpPr>
            <xdr:cNvPr id="12292" name="Spinner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2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579120</xdr:colOff>
      <xdr:row>2</xdr:row>
      <xdr:rowOff>152400</xdr:rowOff>
    </xdr:from>
    <xdr:to>
      <xdr:col>14</xdr:col>
      <xdr:colOff>350520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2</xdr:row>
          <xdr:rowOff>60960</xdr:rowOff>
        </xdr:from>
        <xdr:to>
          <xdr:col>2</xdr:col>
          <xdr:colOff>502920</xdr:colOff>
          <xdr:row>2</xdr:row>
          <xdr:rowOff>335280</xdr:rowOff>
        </xdr:to>
        <xdr:sp macro="" textlink="">
          <xdr:nvSpPr>
            <xdr:cNvPr id="13313" name="Spinner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3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3</xdr:row>
          <xdr:rowOff>60960</xdr:rowOff>
        </xdr:from>
        <xdr:to>
          <xdr:col>2</xdr:col>
          <xdr:colOff>502920</xdr:colOff>
          <xdr:row>3</xdr:row>
          <xdr:rowOff>335280</xdr:rowOff>
        </xdr:to>
        <xdr:sp macro="" textlink="">
          <xdr:nvSpPr>
            <xdr:cNvPr id="13314" name="Spinner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3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4</xdr:row>
          <xdr:rowOff>60960</xdr:rowOff>
        </xdr:from>
        <xdr:to>
          <xdr:col>2</xdr:col>
          <xdr:colOff>502920</xdr:colOff>
          <xdr:row>4</xdr:row>
          <xdr:rowOff>335280</xdr:rowOff>
        </xdr:to>
        <xdr:sp macro="" textlink="">
          <xdr:nvSpPr>
            <xdr:cNvPr id="13315" name="Spinner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3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5</xdr:row>
          <xdr:rowOff>60960</xdr:rowOff>
        </xdr:from>
        <xdr:to>
          <xdr:col>2</xdr:col>
          <xdr:colOff>502920</xdr:colOff>
          <xdr:row>5</xdr:row>
          <xdr:rowOff>335280</xdr:rowOff>
        </xdr:to>
        <xdr:sp macro="" textlink="">
          <xdr:nvSpPr>
            <xdr:cNvPr id="13316" name="Spinner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3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205740</xdr:colOff>
          <xdr:row>3</xdr:row>
          <xdr:rowOff>83820</xdr:rowOff>
        </xdr:from>
        <xdr:to>
          <xdr:col>2</xdr:col>
          <xdr:colOff>754380</xdr:colOff>
          <xdr:row>4</xdr:row>
          <xdr:rowOff>60960</xdr:rowOff>
        </xdr:to>
        <xdr:sp macro="" textlink="">
          <xdr:nvSpPr>
            <xdr:cNvPr id="14337" name="Spinner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4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106680</xdr:colOff>
          <xdr:row>3</xdr:row>
          <xdr:rowOff>22860</xdr:rowOff>
        </xdr:from>
        <xdr:to>
          <xdr:col>2</xdr:col>
          <xdr:colOff>708660</xdr:colOff>
          <xdr:row>3</xdr:row>
          <xdr:rowOff>160020</xdr:rowOff>
        </xdr:to>
        <xdr:sp macro="" textlink="">
          <xdr:nvSpPr>
            <xdr:cNvPr id="15361" name="Spinner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5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106680</xdr:colOff>
          <xdr:row>4</xdr:row>
          <xdr:rowOff>22860</xdr:rowOff>
        </xdr:from>
        <xdr:to>
          <xdr:col>2</xdr:col>
          <xdr:colOff>708660</xdr:colOff>
          <xdr:row>4</xdr:row>
          <xdr:rowOff>160020</xdr:rowOff>
        </xdr:to>
        <xdr:sp macro="" textlink="">
          <xdr:nvSpPr>
            <xdr:cNvPr id="15362" name="Spinner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5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106680</xdr:colOff>
          <xdr:row>5</xdr:row>
          <xdr:rowOff>22860</xdr:rowOff>
        </xdr:from>
        <xdr:to>
          <xdr:col>2</xdr:col>
          <xdr:colOff>708660</xdr:colOff>
          <xdr:row>5</xdr:row>
          <xdr:rowOff>160020</xdr:rowOff>
        </xdr:to>
        <xdr:sp macro="" textlink="">
          <xdr:nvSpPr>
            <xdr:cNvPr id="15363" name="Spinner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5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1143000</xdr:colOff>
          <xdr:row>4</xdr:row>
          <xdr:rowOff>7620</xdr:rowOff>
        </xdr:from>
        <xdr:to>
          <xdr:col>1</xdr:col>
          <xdr:colOff>0</xdr:colOff>
          <xdr:row>5</xdr:row>
          <xdr:rowOff>7620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6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0</xdr:colOff>
      <xdr:row>0</xdr:row>
      <xdr:rowOff>0</xdr:rowOff>
    </xdr:from>
    <xdr:to>
      <xdr:col>10</xdr:col>
      <xdr:colOff>38100</xdr:colOff>
      <xdr:row>14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1143000</xdr:colOff>
          <xdr:row>3</xdr:row>
          <xdr:rowOff>7620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6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1143000</xdr:colOff>
          <xdr:row>5</xdr:row>
          <xdr:rowOff>7620</xdr:rowOff>
        </xdr:from>
        <xdr:to>
          <xdr:col>1</xdr:col>
          <xdr:colOff>0</xdr:colOff>
          <xdr:row>6</xdr:row>
          <xdr:rowOff>7620</xdr:rowOff>
        </xdr:to>
        <xdr:sp macro="" textlink="">
          <xdr:nvSpPr>
            <xdr:cNvPr id="2053" name="Spinner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6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65314</xdr:colOff>
          <xdr:row>6</xdr:row>
          <xdr:rowOff>60959</xdr:rowOff>
        </xdr:from>
        <xdr:to>
          <xdr:col>2</xdr:col>
          <xdr:colOff>640771</xdr:colOff>
          <xdr:row>7</xdr:row>
          <xdr:rowOff>13607</xdr:rowOff>
        </xdr:to>
        <xdr:sp macro="" textlink="">
          <xdr:nvSpPr>
            <xdr:cNvPr id="25601" name="Spinner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4C468533-7F55-4DF4-813D-C6A63C9123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68034</xdr:colOff>
          <xdr:row>7</xdr:row>
          <xdr:rowOff>100148</xdr:rowOff>
        </xdr:from>
        <xdr:to>
          <xdr:col>2</xdr:col>
          <xdr:colOff>644978</xdr:colOff>
          <xdr:row>7</xdr:row>
          <xdr:rowOff>304799</xdr:rowOff>
        </xdr:to>
        <xdr:sp macro="" textlink="">
          <xdr:nvSpPr>
            <xdr:cNvPr id="25602" name="Spinner 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C9FAD200-3C48-4D6D-A77C-2F2815185C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62990</xdr:colOff>
          <xdr:row>5</xdr:row>
          <xdr:rowOff>32032</xdr:rowOff>
        </xdr:from>
        <xdr:to>
          <xdr:col>2</xdr:col>
          <xdr:colOff>633844</xdr:colOff>
          <xdr:row>5</xdr:row>
          <xdr:rowOff>225136</xdr:rowOff>
        </xdr:to>
        <xdr:sp macro="" textlink="">
          <xdr:nvSpPr>
            <xdr:cNvPr id="25603" name="Spinner 3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6B78E226-136B-4A03-B6AF-A1C09D6F0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69743</xdr:colOff>
          <xdr:row>22</xdr:row>
          <xdr:rowOff>23248</xdr:rowOff>
        </xdr:from>
        <xdr:to>
          <xdr:col>2</xdr:col>
          <xdr:colOff>617350</xdr:colOff>
          <xdr:row>22</xdr:row>
          <xdr:rowOff>180814</xdr:rowOff>
        </xdr:to>
        <xdr:sp macro="" textlink="">
          <xdr:nvSpPr>
            <xdr:cNvPr id="25604" name="Spinner 4" hidden="1">
              <a:extLst>
                <a:ext uri="{63B3BB69-23CF-44E3-9099-C40C66FF867C}">
                  <a14:compatExt spid="_x0000_s25604"/>
                </a:ext>
                <a:ext uri="{FF2B5EF4-FFF2-40B4-BE49-F238E27FC236}">
                  <a16:creationId xmlns:a16="http://schemas.microsoft.com/office/drawing/2014/main" id="{2DF0CF07-22DD-4889-9E02-6296F2955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73230</xdr:colOff>
          <xdr:row>23</xdr:row>
          <xdr:rowOff>36679</xdr:rowOff>
        </xdr:from>
        <xdr:to>
          <xdr:col>2</xdr:col>
          <xdr:colOff>625099</xdr:colOff>
          <xdr:row>24</xdr:row>
          <xdr:rowOff>10332</xdr:rowOff>
        </xdr:to>
        <xdr:sp macro="" textlink="">
          <xdr:nvSpPr>
            <xdr:cNvPr id="25605" name="Spinner 5" hidden="1">
              <a:extLst>
                <a:ext uri="{63B3BB69-23CF-44E3-9099-C40C66FF867C}">
                  <a14:compatExt spid="_x0000_s25605"/>
                </a:ext>
                <a:ext uri="{FF2B5EF4-FFF2-40B4-BE49-F238E27FC236}">
                  <a16:creationId xmlns:a16="http://schemas.microsoft.com/office/drawing/2014/main" id="{0F680ECD-831D-4F3B-9F32-C68FCFDBB2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64577</xdr:colOff>
          <xdr:row>20</xdr:row>
          <xdr:rowOff>174024</xdr:rowOff>
        </xdr:from>
        <xdr:to>
          <xdr:col>2</xdr:col>
          <xdr:colOff>622516</xdr:colOff>
          <xdr:row>21</xdr:row>
          <xdr:rowOff>160150</xdr:rowOff>
        </xdr:to>
        <xdr:sp macro="" textlink="">
          <xdr:nvSpPr>
            <xdr:cNvPr id="25606" name="Spinner 6" hidden="1">
              <a:extLst>
                <a:ext uri="{63B3BB69-23CF-44E3-9099-C40C66FF867C}">
                  <a14:compatExt spid="_x0000_s25606"/>
                </a:ext>
                <a:ext uri="{FF2B5EF4-FFF2-40B4-BE49-F238E27FC236}">
                  <a16:creationId xmlns:a16="http://schemas.microsoft.com/office/drawing/2014/main" id="{FF1B8E76-82EC-4EAB-9A05-11DC619AE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629285</xdr:colOff>
      <xdr:row>0</xdr:row>
      <xdr:rowOff>6350</xdr:rowOff>
    </xdr:from>
    <xdr:to>
      <xdr:col>10</xdr:col>
      <xdr:colOff>146050</xdr:colOff>
      <xdr:row>10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ED39B2-891C-4583-9FFE-AA5D79A48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619125</xdr:colOff>
      <xdr:row>0</xdr:row>
      <xdr:rowOff>5080</xdr:rowOff>
    </xdr:from>
    <xdr:to>
      <xdr:col>16</xdr:col>
      <xdr:colOff>601980</xdr:colOff>
      <xdr:row>10</xdr:row>
      <xdr:rowOff>43180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16225C8-CBDE-457B-82D4-04FE3BBF4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696311</xdr:colOff>
      <xdr:row>0</xdr:row>
      <xdr:rowOff>162253</xdr:rowOff>
    </xdr:from>
    <xdr:to>
      <xdr:col>10</xdr:col>
      <xdr:colOff>144518</xdr:colOff>
      <xdr:row>15</xdr:row>
      <xdr:rowOff>146487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45B89F-4E02-4E7E-8F05-68FF74F58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420414</xdr:colOff>
      <xdr:row>0</xdr:row>
      <xdr:rowOff>181960</xdr:rowOff>
    </xdr:from>
    <xdr:to>
      <xdr:col>15</xdr:col>
      <xdr:colOff>794845</xdr:colOff>
      <xdr:row>15</xdr:row>
      <xdr:rowOff>166194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149CE-2A54-4F51-B598-FE6FD7EDC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4330700</xdr:colOff>
          <xdr:row>3</xdr:row>
          <xdr:rowOff>105834</xdr:rowOff>
        </xdr:from>
        <xdr:to>
          <xdr:col>1</xdr:col>
          <xdr:colOff>0</xdr:colOff>
          <xdr:row>7</xdr:row>
          <xdr:rowOff>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GrpSpPr/>
          </xdr:nvGrpSpPr>
          <xdr:grpSpPr>
            <a:xfrm>
              <a:off x="4330700" y="976691"/>
              <a:ext cx="1035957" cy="2397880"/>
              <a:chOff x="4330700" y="1545166"/>
              <a:chExt cx="546100" cy="2400301"/>
            </a:xfrm>
          </xdr:grpSpPr>
          <xdr:sp macro="" textlink="">
            <xdr:nvSpPr>
              <xdr:cNvPr id="6145" name="Spinner 1" hidden="1">
                <a:extLst>
                  <a:ext uri="{63B3BB69-23CF-44E3-9099-C40C66FF867C}">
                    <a14:compatExt spid="_x0000_s6145"/>
                  </a:ext>
                  <a:ext uri="{FF2B5EF4-FFF2-40B4-BE49-F238E27FC236}">
                    <a16:creationId xmlns:a16="http://schemas.microsoft.com/office/drawing/2014/main" id="{00000000-0008-0000-0900-000001180000}"/>
                  </a:ext>
                </a:extLst>
              </xdr:cNvPr>
              <xdr:cNvSpPr/>
            </xdr:nvSpPr>
            <xdr:spPr bwMode="auto">
              <a:xfrm>
                <a:off x="4330700" y="1545166"/>
                <a:ext cx="546100" cy="520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  <xdr:sp macro="" textlink="">
            <xdr:nvSpPr>
              <xdr:cNvPr id="6146" name="Spinner 2" hidden="1">
                <a:extLst>
                  <a:ext uri="{63B3BB69-23CF-44E3-9099-C40C66FF867C}">
                    <a14:compatExt spid="_x0000_s6146"/>
                  </a:ext>
                  <a:ext uri="{FF2B5EF4-FFF2-40B4-BE49-F238E27FC236}">
                    <a16:creationId xmlns:a16="http://schemas.microsoft.com/office/drawing/2014/main" id="{00000000-0008-0000-0900-000002180000}"/>
                  </a:ext>
                </a:extLst>
              </xdr:cNvPr>
              <xdr:cNvSpPr/>
            </xdr:nvSpPr>
            <xdr:spPr bwMode="auto">
              <a:xfrm>
                <a:off x="4330700" y="2188633"/>
                <a:ext cx="546100" cy="520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  <xdr:sp macro="" textlink="">
            <xdr:nvSpPr>
              <xdr:cNvPr id="6147" name="Spinner 3" hidden="1">
                <a:extLst>
                  <a:ext uri="{63B3BB69-23CF-44E3-9099-C40C66FF867C}">
                    <a14:compatExt spid="_x0000_s6147"/>
                  </a:ext>
                  <a:ext uri="{FF2B5EF4-FFF2-40B4-BE49-F238E27FC236}">
                    <a16:creationId xmlns:a16="http://schemas.microsoft.com/office/drawing/2014/main" id="{00000000-0008-0000-0900-000003180000}"/>
                  </a:ext>
                </a:extLst>
              </xdr:cNvPr>
              <xdr:cNvSpPr/>
            </xdr:nvSpPr>
            <xdr:spPr bwMode="auto">
              <a:xfrm>
                <a:off x="4330700" y="2815167"/>
                <a:ext cx="546100" cy="520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  <xdr:sp macro="" textlink="">
            <xdr:nvSpPr>
              <xdr:cNvPr id="6148" name="Spinner 4" hidden="1">
                <a:extLst>
                  <a:ext uri="{63B3BB69-23CF-44E3-9099-C40C66FF867C}">
                    <a14:compatExt spid="_x0000_s6148"/>
                  </a:ext>
                  <a:ext uri="{FF2B5EF4-FFF2-40B4-BE49-F238E27FC236}">
                    <a16:creationId xmlns:a16="http://schemas.microsoft.com/office/drawing/2014/main" id="{00000000-0008-0000-0900-000004180000}"/>
                  </a:ext>
                </a:extLst>
              </xdr:cNvPr>
              <xdr:cNvSpPr/>
            </xdr:nvSpPr>
            <xdr:spPr bwMode="auto">
              <a:xfrm>
                <a:off x="4330700" y="3424767"/>
                <a:ext cx="546100" cy="520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xdr:grp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6118860</xdr:colOff>
          <xdr:row>6</xdr:row>
          <xdr:rowOff>137160</xdr:rowOff>
        </xdr:from>
        <xdr:to>
          <xdr:col>0</xdr:col>
          <xdr:colOff>6804660</xdr:colOff>
          <xdr:row>6</xdr:row>
          <xdr:rowOff>708660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A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6118860</xdr:colOff>
          <xdr:row>7</xdr:row>
          <xdr:rowOff>137160</xdr:rowOff>
        </xdr:from>
        <xdr:to>
          <xdr:col>0</xdr:col>
          <xdr:colOff>6804660</xdr:colOff>
          <xdr:row>7</xdr:row>
          <xdr:rowOff>708660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A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6118860</xdr:colOff>
          <xdr:row>8</xdr:row>
          <xdr:rowOff>137160</xdr:rowOff>
        </xdr:from>
        <xdr:to>
          <xdr:col>0</xdr:col>
          <xdr:colOff>6804660</xdr:colOff>
          <xdr:row>8</xdr:row>
          <xdr:rowOff>708660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A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6118860</xdr:colOff>
          <xdr:row>9</xdr:row>
          <xdr:rowOff>137160</xdr:rowOff>
        </xdr:from>
        <xdr:to>
          <xdr:col>0</xdr:col>
          <xdr:colOff>6804660</xdr:colOff>
          <xdr:row>9</xdr:row>
          <xdr:rowOff>708660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A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6118860</xdr:colOff>
          <xdr:row>10</xdr:row>
          <xdr:rowOff>137160</xdr:rowOff>
        </xdr:from>
        <xdr:to>
          <xdr:col>0</xdr:col>
          <xdr:colOff>6804660</xdr:colOff>
          <xdr:row>10</xdr:row>
          <xdr:rowOff>708660</xdr:rowOff>
        </xdr:to>
        <xdr:sp macro="" textlink="">
          <xdr:nvSpPr>
            <xdr:cNvPr id="7173" name="Spinner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A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5</xdr:row>
          <xdr:rowOff>137160</xdr:rowOff>
        </xdr:from>
        <xdr:to>
          <xdr:col>1</xdr:col>
          <xdr:colOff>693420</xdr:colOff>
          <xdr:row>5</xdr:row>
          <xdr:rowOff>685800</xdr:rowOff>
        </xdr:to>
        <xdr:sp macro="" textlink="">
          <xdr:nvSpPr>
            <xdr:cNvPr id="7174" name="Option Button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A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IN" sz="1200" b="0" i="0" u="none" strike="noStrike" baseline="0">
                  <a:solidFill>
                    <a:srgbClr val="000000"/>
                  </a:solidFill>
                  <a:latin typeface="Aptos Narrow"/>
                </a:rPr>
                <a:t>APR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967740</xdr:colOff>
          <xdr:row>5</xdr:row>
          <xdr:rowOff>114300</xdr:rowOff>
        </xdr:from>
        <xdr:to>
          <xdr:col>1</xdr:col>
          <xdr:colOff>1508760</xdr:colOff>
          <xdr:row>5</xdr:row>
          <xdr:rowOff>662940</xdr:rowOff>
        </xdr:to>
        <xdr:sp macro="" textlink="">
          <xdr:nvSpPr>
            <xdr:cNvPr id="7175" name="Option Button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A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985" b="0" i="0" u="none" strike="noStrike" baseline="0">
                  <a:solidFill>
                    <a:srgbClr val="000000"/>
                  </a:solidFill>
                  <a:latin typeface="Aptos Narrow"/>
                </a:rPr>
                <a:t>EAR</a:t>
              </a:r>
            </a:p>
          </xdr:txBody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1092200</xdr:colOff>
      <xdr:row>15</xdr:row>
      <xdr:rowOff>127000</xdr:rowOff>
    </xdr:from>
    <xdr:to>
      <xdr:col>12</xdr:col>
      <xdr:colOff>438709</xdr:colOff>
      <xdr:row>49</xdr:row>
      <xdr:rowOff>88213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48</xdr:row>
      <xdr:rowOff>1</xdr:rowOff>
    </xdr:from>
    <xdr:to>
      <xdr:col>6</xdr:col>
      <xdr:colOff>635000</xdr:colOff>
      <xdr:row>49</xdr:row>
      <xdr:rowOff>50801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8382000" y="9387841"/>
          <a:ext cx="4292600" cy="24130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kern="1200"/>
            <a:t>Yield </a:t>
          </a:r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0.00549</cdr:x>
      <cdr:y>0.35064</cdr:y>
    </cdr:from>
    <cdr:to>
      <cdr:x>0.01836</cdr:x>
      <cdr:y>0.71541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B7935A-C663-3F8E-3629-6613EDC69E35}"/>
            </a:ext>
          </a:extLst>
        </cdr:cNvPr>
        <cdr:cNvSpPr txBox="1"/>
      </cdr:nvSpPr>
      <cdr:spPr>
        <a:xfrm xmlns:a="http://schemas.openxmlformats.org/drawingml/2006/main">
          <a:off x="83567" y="2408901"/>
          <a:ext cx="195834" cy="2505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Bond</a:t>
          </a:r>
        </a:p>
        <a:p xmlns:a="http://schemas.openxmlformats.org/drawingml/2006/main">
          <a:endParaRPr lang="en-US" sz="1100" kern="1200"/>
        </a:p>
        <a:p xmlns:a="http://schemas.openxmlformats.org/drawingml/2006/main">
          <a:r>
            <a:rPr lang="en-US" sz="1100" kern="1200"/>
            <a:t>Price 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4</xdr:row>
          <xdr:rowOff>137160</xdr:rowOff>
        </xdr:from>
        <xdr:to>
          <xdr:col>1</xdr:col>
          <xdr:colOff>6804660</xdr:colOff>
          <xdr:row>4</xdr:row>
          <xdr:rowOff>708660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C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5</xdr:row>
          <xdr:rowOff>137160</xdr:rowOff>
        </xdr:from>
        <xdr:to>
          <xdr:col>1</xdr:col>
          <xdr:colOff>6804660</xdr:colOff>
          <xdr:row>5</xdr:row>
          <xdr:rowOff>708660</xdr:rowOff>
        </xdr:to>
        <xdr:sp macro="" textlink="">
          <xdr:nvSpPr>
            <xdr:cNvPr id="9218" name="Spinner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C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6</xdr:row>
          <xdr:rowOff>137160</xdr:rowOff>
        </xdr:from>
        <xdr:to>
          <xdr:col>1</xdr:col>
          <xdr:colOff>6804660</xdr:colOff>
          <xdr:row>6</xdr:row>
          <xdr:rowOff>708660</xdr:rowOff>
        </xdr:to>
        <xdr:sp macro="" textlink="">
          <xdr:nvSpPr>
            <xdr:cNvPr id="9219" name="Spinner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C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7</xdr:row>
          <xdr:rowOff>137160</xdr:rowOff>
        </xdr:from>
        <xdr:to>
          <xdr:col>1</xdr:col>
          <xdr:colOff>6804660</xdr:colOff>
          <xdr:row>7</xdr:row>
          <xdr:rowOff>708660</xdr:rowOff>
        </xdr:to>
        <xdr:sp macro="" textlink="">
          <xdr:nvSpPr>
            <xdr:cNvPr id="9220" name="Spinner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C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8</xdr:row>
          <xdr:rowOff>137160</xdr:rowOff>
        </xdr:from>
        <xdr:to>
          <xdr:col>1</xdr:col>
          <xdr:colOff>6804660</xdr:colOff>
          <xdr:row>8</xdr:row>
          <xdr:rowOff>708660</xdr:rowOff>
        </xdr:to>
        <xdr:sp macro="" textlink="">
          <xdr:nvSpPr>
            <xdr:cNvPr id="9221" name="Spinner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C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0</xdr:row>
          <xdr:rowOff>143786</xdr:rowOff>
        </xdr:from>
        <xdr:to>
          <xdr:col>1</xdr:col>
          <xdr:colOff>701040</xdr:colOff>
          <xdr:row>5</xdr:row>
          <xdr:rowOff>9939</xdr:rowOff>
        </xdr:to>
        <xdr:sp macro="" textlink="">
          <xdr:nvSpPr>
            <xdr:cNvPr id="9222" name="Option Butto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C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IN" sz="1200" b="0" i="0" u="none" strike="noStrike" baseline="0">
                  <a:solidFill>
                    <a:srgbClr val="000000"/>
                  </a:solidFill>
                  <a:latin typeface="Aptos Narrow"/>
                </a:rPr>
                <a:t>APR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905692</xdr:colOff>
          <xdr:row>0</xdr:row>
          <xdr:rowOff>113212</xdr:rowOff>
        </xdr:from>
        <xdr:to>
          <xdr:col>1</xdr:col>
          <xdr:colOff>1924595</xdr:colOff>
          <xdr:row>5</xdr:row>
          <xdr:rowOff>47898</xdr:rowOff>
        </xdr:to>
        <xdr:sp macro="" textlink="">
          <xdr:nvSpPr>
            <xdr:cNvPr id="9223" name="Option Butto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C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985" b="0" i="0" u="none" strike="noStrike" baseline="0">
                  <a:solidFill>
                    <a:srgbClr val="000000"/>
                  </a:solidFill>
                  <a:latin typeface="Aptos Narrow"/>
                </a:rPr>
                <a:t>EAR</a:t>
              </a:r>
            </a:p>
          </xdr:txBody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4</xdr:row>
          <xdr:rowOff>137160</xdr:rowOff>
        </xdr:from>
        <xdr:to>
          <xdr:col>1</xdr:col>
          <xdr:colOff>6804660</xdr:colOff>
          <xdr:row>4</xdr:row>
          <xdr:rowOff>708660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D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5</xdr:row>
          <xdr:rowOff>137160</xdr:rowOff>
        </xdr:from>
        <xdr:to>
          <xdr:col>1</xdr:col>
          <xdr:colOff>6804660</xdr:colOff>
          <xdr:row>5</xdr:row>
          <xdr:rowOff>708660</xdr:rowOff>
        </xdr:to>
        <xdr:sp macro="" textlink="">
          <xdr:nvSpPr>
            <xdr:cNvPr id="10242" name="Spinner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D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6</xdr:row>
          <xdr:rowOff>137160</xdr:rowOff>
        </xdr:from>
        <xdr:to>
          <xdr:col>1</xdr:col>
          <xdr:colOff>6804660</xdr:colOff>
          <xdr:row>6</xdr:row>
          <xdr:rowOff>708660</xdr:rowOff>
        </xdr:to>
        <xdr:sp macro="" textlink="">
          <xdr:nvSpPr>
            <xdr:cNvPr id="10243" name="Spinner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D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7</xdr:row>
          <xdr:rowOff>137160</xdr:rowOff>
        </xdr:from>
        <xdr:to>
          <xdr:col>1</xdr:col>
          <xdr:colOff>6804660</xdr:colOff>
          <xdr:row>7</xdr:row>
          <xdr:rowOff>708660</xdr:rowOff>
        </xdr:to>
        <xdr:sp macro="" textlink="">
          <xdr:nvSpPr>
            <xdr:cNvPr id="10244" name="Spinner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D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6118860</xdr:colOff>
          <xdr:row>8</xdr:row>
          <xdr:rowOff>137160</xdr:rowOff>
        </xdr:from>
        <xdr:to>
          <xdr:col>1</xdr:col>
          <xdr:colOff>6804660</xdr:colOff>
          <xdr:row>8</xdr:row>
          <xdr:rowOff>708660</xdr:rowOff>
        </xdr:to>
        <xdr:sp macro="" textlink="">
          <xdr:nvSpPr>
            <xdr:cNvPr id="10245" name="Spinner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D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3</xdr:row>
          <xdr:rowOff>137160</xdr:rowOff>
        </xdr:from>
        <xdr:to>
          <xdr:col>1</xdr:col>
          <xdr:colOff>701040</xdr:colOff>
          <xdr:row>3</xdr:row>
          <xdr:rowOff>655320</xdr:rowOff>
        </xdr:to>
        <xdr:sp macro="" textlink="">
          <xdr:nvSpPr>
            <xdr:cNvPr id="10246" name="Option Button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D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IN" sz="1200" b="0" i="0" u="none" strike="noStrike" baseline="0">
                  <a:solidFill>
                    <a:srgbClr val="000000"/>
                  </a:solidFill>
                  <a:latin typeface="Aptos Narrow"/>
                </a:rPr>
                <a:t>APR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967740</xdr:colOff>
          <xdr:row>3</xdr:row>
          <xdr:rowOff>114300</xdr:rowOff>
        </xdr:from>
        <xdr:to>
          <xdr:col>1</xdr:col>
          <xdr:colOff>1508760</xdr:colOff>
          <xdr:row>3</xdr:row>
          <xdr:rowOff>701040</xdr:rowOff>
        </xdr:to>
        <xdr:sp macro="" textlink="">
          <xdr:nvSpPr>
            <xdr:cNvPr id="10247" name="Option Button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D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985" b="0" i="0" u="none" strike="noStrike" baseline="0">
                  <a:solidFill>
                    <a:srgbClr val="000000"/>
                  </a:solidFill>
                  <a:latin typeface="Aptos Narrow"/>
                </a:rPr>
                <a:t>EAR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ecolecentrale-my.sharepoint.com/personal/sm23ubef022_mahindrauniversity_edu_in/Documents/FMCF_classwor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Windows/INetCache/IE/JX8310P9/Scenario%209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w_1"/>
      <sheetName val="cw_2"/>
      <sheetName val="minicase_2"/>
      <sheetName val="cw_loan amortization"/>
      <sheetName val="L.A. case"/>
      <sheetName val="Sensitivity Analysis"/>
      <sheetName val="Bond Pricing Model"/>
      <sheetName val="B.P. EAR A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8">
          <cell r="B38">
            <v>5.0000000000000001E-3</v>
          </cell>
          <cell r="C38">
            <v>0.01</v>
          </cell>
          <cell r="D38">
            <v>1.4999999999999999E-2</v>
          </cell>
          <cell r="E38">
            <v>0.02</v>
          </cell>
          <cell r="F38">
            <v>2.5000000000000001E-2</v>
          </cell>
          <cell r="G38">
            <v>0.03</v>
          </cell>
          <cell r="H38">
            <v>3.5000000000000003E-2</v>
          </cell>
          <cell r="I38">
            <v>0.04</v>
          </cell>
          <cell r="J38">
            <v>4.4999999999999998E-2</v>
          </cell>
          <cell r="K38">
            <v>0.05</v>
          </cell>
          <cell r="L38">
            <v>5.5E-2</v>
          </cell>
          <cell r="M38">
            <v>0.06</v>
          </cell>
          <cell r="N38">
            <v>6.5000000000000002E-2</v>
          </cell>
          <cell r="O38">
            <v>7.0000000000000007E-2</v>
          </cell>
          <cell r="P38">
            <v>7.4999999999999997E-2</v>
          </cell>
          <cell r="Q38">
            <v>0.08</v>
          </cell>
          <cell r="R38">
            <v>8.5000000000000006E-2</v>
          </cell>
          <cell r="S38">
            <v>0.09</v>
          </cell>
          <cell r="T38">
            <v>9.5000000000000001E-2</v>
          </cell>
          <cell r="U38">
            <v>0.1</v>
          </cell>
        </row>
        <row r="39">
          <cell r="B39">
            <v>1086.9610704044258</v>
          </cell>
          <cell r="C39">
            <v>1076.5167775176878</v>
          </cell>
          <cell r="D39">
            <v>1037.4296253996708</v>
          </cell>
          <cell r="E39">
            <v>1000</v>
          </cell>
          <cell r="F39">
            <v>964.14931416261834</v>
          </cell>
          <cell r="G39">
            <v>929.80307810464524</v>
          </cell>
          <cell r="H39">
            <v>896.89066694982159</v>
          </cell>
          <cell r="I39">
            <v>865.34510250099186</v>
          </cell>
          <cell r="J39">
            <v>835.10284831603212</v>
          </cell>
          <cell r="K39">
            <v>806.10361721721222</v>
          </cell>
          <cell r="L39">
            <v>778.29019042471691</v>
          </cell>
          <cell r="M39">
            <v>751.60824756121769</v>
          </cell>
          <cell r="N39">
            <v>726.00620682649594</v>
          </cell>
          <cell r="O39">
            <v>701.43507468931318</v>
          </cell>
          <cell r="P39">
            <v>677.84830448847845</v>
          </cell>
          <cell r="Q39">
            <v>655.20166337648175</v>
          </cell>
          <cell r="R39">
            <v>633.45310707755982</v>
          </cell>
          <cell r="S39">
            <v>612.56266196770855</v>
          </cell>
          <cell r="T39">
            <v>592.49231401731231</v>
          </cell>
          <cell r="U39">
            <v>573.20590416778657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9">
          <cell r="B29">
            <v>41000</v>
          </cell>
          <cell r="C29">
            <v>40651.135061051667</v>
          </cell>
          <cell r="D29">
            <v>40273.66319710957</v>
          </cell>
          <cell r="E29">
            <v>39865.238640324227</v>
          </cell>
          <cell r="F29">
            <v>39423.32326988248</v>
          </cell>
          <cell r="G29">
            <v>38945.170839064507</v>
          </cell>
          <cell r="H29">
            <v>38427.809908919466</v>
          </cell>
          <cell r="I29">
            <v>37868.025382502528</v>
          </cell>
          <cell r="J29">
            <v>37262.338524919403</v>
          </cell>
          <cell r="K29">
            <v>36606.985345014458</v>
          </cell>
          <cell r="L29">
            <v>35897.893204357315</v>
          </cell>
          <cell r="M29">
            <v>35130.655508166281</v>
          </cell>
          <cell r="N29">
            <v>34300.50432088758</v>
          </cell>
          <cell r="O29">
            <v>33402.280736252033</v>
          </cell>
          <cell r="P29">
            <v>32430.402817676364</v>
          </cell>
          <cell r="Q29">
            <v>31378.830909777495</v>
          </cell>
          <cell r="R29">
            <v>30241.03010543092</v>
          </cell>
          <cell r="S29">
            <v>29009.929635127923</v>
          </cell>
          <cell r="T29">
            <v>27677.87892626008</v>
          </cell>
          <cell r="U29">
            <v>26236.600059265071</v>
          </cell>
          <cell r="V29">
            <v>24677.136325176474</v>
          </cell>
          <cell r="W29">
            <v>22989.796564892611</v>
          </cell>
          <cell r="X29">
            <v>21164.094944265471</v>
          </cell>
          <cell r="Y29">
            <v>19188.685790746906</v>
          </cell>
          <cell r="Z29">
            <v>17051.29308663982</v>
          </cell>
          <cell r="AA29">
            <v>14738.634180795954</v>
          </cell>
          <cell r="AB29">
            <v>12236.337244672888</v>
          </cell>
          <cell r="AC29">
            <v>9528.851959787733</v>
          </cell>
          <cell r="AD29">
            <v>6599.3528815419941</v>
          </cell>
          <cell r="AE29">
            <v>3429.6348788801047</v>
          </cell>
        </row>
        <row r="30">
          <cell r="B30">
            <v>47500</v>
          </cell>
          <cell r="C30">
            <v>47182.672238452069</v>
          </cell>
          <cell r="D30">
            <v>46835.198339557079</v>
          </cell>
          <cell r="E30">
            <v>46454.714420267061</v>
          </cell>
          <cell r="F30">
            <v>46038.084528644496</v>
          </cell>
          <cell r="G30">
            <v>45581.874797317781</v>
          </cell>
          <cell r="H30">
            <v>45082.325141515037</v>
          </cell>
          <cell r="I30">
            <v>44535.318268411029</v>
          </cell>
          <cell r="J30">
            <v>43936.345742362137</v>
          </cell>
          <cell r="K30">
            <v>43280.470826338606</v>
          </cell>
          <cell r="L30">
            <v>42562.287793292831</v>
          </cell>
          <cell r="M30">
            <v>41775.877372107716</v>
          </cell>
          <cell r="N30">
            <v>40914.757960910014</v>
          </cell>
          <cell r="O30">
            <v>39971.832205648527</v>
          </cell>
          <cell r="P30">
            <v>38939.328503637204</v>
          </cell>
          <cell r="Q30">
            <v>37808.736949934799</v>
          </cell>
          <cell r="R30">
            <v>36570.739198630668</v>
          </cell>
          <cell r="S30">
            <v>35215.131660952648</v>
          </cell>
          <cell r="T30">
            <v>33730.741407195215</v>
          </cell>
          <cell r="U30">
            <v>32105.334079330816</v>
          </cell>
          <cell r="V30">
            <v>30325.513055319308</v>
          </cell>
          <cell r="W30">
            <v>28376.609034026707</v>
          </cell>
          <cell r="X30">
            <v>26242.559130711306</v>
          </cell>
          <cell r="Y30">
            <v>23905.774486580944</v>
          </cell>
          <cell r="Z30">
            <v>21346.995301258197</v>
          </cell>
          <cell r="AA30">
            <v>18545.132093329787</v>
          </cell>
          <cell r="AB30">
            <v>15477.091880648179</v>
          </cell>
          <cell r="AC30">
            <v>12117.587847761821</v>
          </cell>
          <cell r="AD30">
            <v>8438.9309317512561</v>
          </cell>
          <cell r="AE30">
            <v>4410.8016087196875</v>
          </cell>
        </row>
        <row r="35">
          <cell r="B35">
            <v>4254.4504749796688</v>
          </cell>
          <cell r="C35">
            <v>4603.3154139280014</v>
          </cell>
          <cell r="D35">
            <v>4980.7872778700985</v>
          </cell>
          <cell r="E35">
            <v>5389.2118346554416</v>
          </cell>
          <cell r="F35">
            <v>5831.1272050971893</v>
          </cell>
          <cell r="G35">
            <v>6309.2796359151616</v>
          </cell>
          <cell r="H35">
            <v>6826.6405660602031</v>
          </cell>
          <cell r="I35">
            <v>7386.4250924771404</v>
          </cell>
          <cell r="J35">
            <v>7992.1119500602654</v>
          </cell>
          <cell r="K35">
            <v>8647.4651299652105</v>
          </cell>
          <cell r="L35">
            <v>9356.5572706223538</v>
          </cell>
          <cell r="M35">
            <v>10123.794966813388</v>
          </cell>
          <cell r="N35">
            <v>10953.946154092089</v>
          </cell>
          <cell r="O35">
            <v>11852.169738727636</v>
          </cell>
          <cell r="P35">
            <v>12824.047657303305</v>
          </cell>
          <cell r="Q35">
            <v>13875.619565202174</v>
          </cell>
          <cell r="R35">
            <v>15013.420369548749</v>
          </cell>
          <cell r="S35">
            <v>16244.520839851746</v>
          </cell>
          <cell r="T35">
            <v>17576.571548719588</v>
          </cell>
          <cell r="U35">
            <v>19017.850415714598</v>
          </cell>
          <cell r="V35">
            <v>20577.314149803195</v>
          </cell>
          <cell r="W35">
            <v>22264.653910087058</v>
          </cell>
          <cell r="X35">
            <v>24090.355530714198</v>
          </cell>
          <cell r="Y35">
            <v>26065.764684232763</v>
          </cell>
          <cell r="Z35">
            <v>28203.157388339849</v>
          </cell>
          <cell r="AA35">
            <v>30515.816294183714</v>
          </cell>
          <cell r="AB35">
            <v>33018.113230306779</v>
          </cell>
          <cell r="AC35">
            <v>35725.598515191938</v>
          </cell>
          <cell r="AD35">
            <v>38655.097593437677</v>
          </cell>
          <cell r="AE35">
            <v>41824.815596099565</v>
          </cell>
        </row>
        <row r="36">
          <cell r="B36">
            <v>3340.2922268203911</v>
          </cell>
          <cell r="C36">
            <v>3657.6199883683221</v>
          </cell>
          <cell r="D36">
            <v>4005.0938872633124</v>
          </cell>
          <cell r="E36">
            <v>4385.5778065533304</v>
          </cell>
          <cell r="F36">
            <v>4802.2076981758946</v>
          </cell>
          <cell r="G36">
            <v>5258.4174295026096</v>
          </cell>
          <cell r="H36">
            <v>5757.967085305354</v>
          </cell>
          <cell r="I36">
            <v>6304.9739584093622</v>
          </cell>
          <cell r="J36">
            <v>6903.9464844582544</v>
          </cell>
          <cell r="K36">
            <v>7559.8214004817855</v>
          </cell>
          <cell r="L36">
            <v>8278.0044335275597</v>
          </cell>
          <cell r="M36">
            <v>9064.4148547126752</v>
          </cell>
          <cell r="N36">
            <v>9925.5342659103771</v>
          </cell>
          <cell r="O36">
            <v>10868.460021171864</v>
          </cell>
          <cell r="P36">
            <v>11900.963723183188</v>
          </cell>
          <cell r="Q36">
            <v>13031.555276885592</v>
          </cell>
          <cell r="R36">
            <v>14269.553028189723</v>
          </cell>
          <cell r="S36">
            <v>15625.160565867744</v>
          </cell>
          <cell r="T36">
            <v>17109.550819625176</v>
          </cell>
          <cell r="U36">
            <v>18734.958147489575</v>
          </cell>
          <cell r="V36">
            <v>20514.779171501083</v>
          </cell>
          <cell r="W36">
            <v>22463.683192793684</v>
          </cell>
          <cell r="X36">
            <v>24597.733096109085</v>
          </cell>
          <cell r="Y36">
            <v>26934.517740239447</v>
          </cell>
          <cell r="Z36">
            <v>29493.296925562194</v>
          </cell>
          <cell r="AA36">
            <v>32295.160133490604</v>
          </cell>
          <cell r="AB36">
            <v>35363.200346172212</v>
          </cell>
          <cell r="AC36">
            <v>38722.704379058574</v>
          </cell>
          <cell r="AD36">
            <v>42401.361295069131</v>
          </cell>
          <cell r="AE36">
            <v>46429.490618100703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9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0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2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5.xml"/><Relationship Id="rId5" Type="http://schemas.openxmlformats.org/officeDocument/2006/relationships/ctrlProp" Target="../ctrlProps/ctrlProp24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Relationship Id="rId6" Type="http://schemas.openxmlformats.org/officeDocument/2006/relationships/ctrlProp" Target="../ctrlProps/ctrlProp32.xml"/><Relationship Id="rId5" Type="http://schemas.openxmlformats.org/officeDocument/2006/relationships/ctrlProp" Target="../ctrlProps/ctrlProp31.xml"/><Relationship Id="rId4" Type="http://schemas.openxmlformats.org/officeDocument/2006/relationships/ctrlProp" Target="../ctrlProps/ctrlProp3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36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5.xml"/><Relationship Id="rId5" Type="http://schemas.openxmlformats.org/officeDocument/2006/relationships/ctrlProp" Target="../ctrlProps/ctrlProp34.xml"/><Relationship Id="rId10" Type="http://schemas.openxmlformats.org/officeDocument/2006/relationships/ctrlProp" Target="../ctrlProps/ctrlProp39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5.xml"/><Relationship Id="rId3" Type="http://schemas.openxmlformats.org/officeDocument/2006/relationships/ctrlProp" Target="../ctrlProps/ctrlProp40.xml"/><Relationship Id="rId7" Type="http://schemas.openxmlformats.org/officeDocument/2006/relationships/ctrlProp" Target="../ctrlProps/ctrlProp44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4.xml"/><Relationship Id="rId6" Type="http://schemas.openxmlformats.org/officeDocument/2006/relationships/ctrlProp" Target="../ctrlProps/ctrlProp43.xml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Relationship Id="rId9" Type="http://schemas.openxmlformats.org/officeDocument/2006/relationships/ctrlProp" Target="../ctrlProps/ctrlProp46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2.xml"/><Relationship Id="rId3" Type="http://schemas.openxmlformats.org/officeDocument/2006/relationships/ctrlProp" Target="../ctrlProps/ctrlProp47.xml"/><Relationship Id="rId7" Type="http://schemas.openxmlformats.org/officeDocument/2006/relationships/ctrlProp" Target="../ctrlProps/ctrlProp51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5.xml"/><Relationship Id="rId6" Type="http://schemas.openxmlformats.org/officeDocument/2006/relationships/ctrlProp" Target="../ctrlProps/ctrlProp50.xml"/><Relationship Id="rId5" Type="http://schemas.openxmlformats.org/officeDocument/2006/relationships/ctrlProp" Target="../ctrlProps/ctrlProp49.xml"/><Relationship Id="rId4" Type="http://schemas.openxmlformats.org/officeDocument/2006/relationships/ctrlProp" Target="../ctrlProps/ctrlProp48.xml"/><Relationship Id="rId9" Type="http://schemas.openxmlformats.org/officeDocument/2006/relationships/ctrlProp" Target="../ctrlProps/ctrlProp5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FB7D-39A5-44BC-B65E-3F6FB0BEDD11}">
  <dimension ref="A1:H20"/>
  <sheetViews>
    <sheetView showGridLines="0" zoomScaleNormal="100" workbookViewId="0">
      <selection activeCell="O10" sqref="O10"/>
    </sheetView>
  </sheetViews>
  <sheetFormatPr defaultRowHeight="14.4"/>
  <cols>
    <col min="1" max="1" width="11.88671875" style="5" bestFit="1" customWidth="1"/>
    <col min="2" max="2" width="9.5546875" style="5" bestFit="1" customWidth="1"/>
    <col min="3" max="3" width="9.44140625" style="5" customWidth="1"/>
    <col min="4" max="6" width="8.88671875" style="5"/>
    <col min="7" max="7" width="9.5546875" style="5" bestFit="1" customWidth="1"/>
    <col min="8" max="16384" width="8.88671875" style="5"/>
  </cols>
  <sheetData>
    <row r="1" spans="1:8" ht="14.4" customHeight="1">
      <c r="A1" s="141" t="s">
        <v>99</v>
      </c>
      <c r="B1" s="141"/>
      <c r="C1" s="141"/>
      <c r="D1" s="141"/>
      <c r="E1" s="141"/>
      <c r="F1" s="141"/>
      <c r="G1" s="141"/>
      <c r="H1" s="38"/>
    </row>
    <row r="2" spans="1:8" ht="21.6" customHeight="1">
      <c r="A2" s="141"/>
      <c r="B2" s="141"/>
      <c r="C2" s="141"/>
      <c r="D2" s="141"/>
      <c r="E2" s="141"/>
      <c r="F2" s="141"/>
      <c r="G2" s="141"/>
      <c r="H2" s="38"/>
    </row>
    <row r="3" spans="1:8" ht="16.8" customHeight="1">
      <c r="A3" s="27" t="s">
        <v>100</v>
      </c>
      <c r="B3" s="49">
        <v>2500</v>
      </c>
      <c r="C3" s="39"/>
      <c r="D3" s="38"/>
      <c r="E3" s="38"/>
      <c r="F3" s="39"/>
      <c r="G3" s="39"/>
      <c r="H3" s="38"/>
    </row>
    <row r="4" spans="1:8" ht="24" customHeight="1">
      <c r="A4" s="41" t="s">
        <v>101</v>
      </c>
      <c r="B4" s="42">
        <v>0</v>
      </c>
      <c r="C4" s="38"/>
      <c r="D4" s="38"/>
      <c r="E4" s="38"/>
      <c r="F4" s="38"/>
      <c r="G4" s="38"/>
      <c r="H4" s="38"/>
    </row>
    <row r="5" spans="1:8" ht="25.2" customHeight="1">
      <c r="A5" s="41" t="s">
        <v>102</v>
      </c>
      <c r="B5" s="42">
        <v>5</v>
      </c>
      <c r="C5" s="38"/>
      <c r="D5" s="38"/>
      <c r="E5" s="38"/>
      <c r="F5" s="38"/>
      <c r="G5" s="38"/>
      <c r="H5" s="38"/>
    </row>
    <row r="6" spans="1:8" ht="23.4" customHeight="1">
      <c r="A6" s="41" t="s">
        <v>103</v>
      </c>
      <c r="B6" s="43">
        <f>D6*0.0001</f>
        <v>6.5000000000000002E-2</v>
      </c>
      <c r="C6" s="38"/>
      <c r="D6" s="26">
        <v>650</v>
      </c>
      <c r="E6" s="38"/>
      <c r="F6" s="38"/>
      <c r="G6" s="38"/>
      <c r="H6" s="38"/>
    </row>
    <row r="7" spans="1:8">
      <c r="A7" s="27"/>
      <c r="B7" s="40"/>
      <c r="C7" s="38"/>
      <c r="D7" s="26">
        <v>5</v>
      </c>
      <c r="E7" s="38"/>
      <c r="F7" s="38"/>
      <c r="G7" s="38"/>
      <c r="H7" s="38"/>
    </row>
    <row r="8" spans="1:8">
      <c r="A8" s="38"/>
      <c r="B8" s="38"/>
      <c r="C8" s="38"/>
      <c r="D8" s="38"/>
      <c r="E8" s="38"/>
      <c r="F8" s="38"/>
      <c r="G8" s="38"/>
      <c r="H8" s="38"/>
    </row>
    <row r="9" spans="1:8">
      <c r="A9" s="140" t="s">
        <v>104</v>
      </c>
      <c r="B9" s="140"/>
      <c r="C9" s="140"/>
      <c r="D9" s="140"/>
      <c r="E9" s="140"/>
      <c r="F9" s="140"/>
      <c r="G9" s="140"/>
      <c r="H9" s="38"/>
    </row>
    <row r="10" spans="1:8">
      <c r="A10" s="38" t="s">
        <v>105</v>
      </c>
      <c r="B10" s="38">
        <v>1</v>
      </c>
      <c r="C10" s="38">
        <v>2</v>
      </c>
      <c r="D10" s="38">
        <v>3</v>
      </c>
      <c r="E10" s="38">
        <v>4</v>
      </c>
      <c r="F10" s="38">
        <v>5</v>
      </c>
      <c r="G10" s="38" t="s">
        <v>18</v>
      </c>
      <c r="H10" s="38"/>
    </row>
    <row r="11" spans="1:8">
      <c r="A11" s="38" t="s">
        <v>106</v>
      </c>
      <c r="B11" s="38">
        <v>0</v>
      </c>
      <c r="C11" s="38">
        <v>0</v>
      </c>
      <c r="D11" s="38">
        <v>0</v>
      </c>
      <c r="E11" s="38">
        <v>0</v>
      </c>
      <c r="F11" s="38">
        <f>$B$4+B3</f>
        <v>2500</v>
      </c>
      <c r="G11" s="38">
        <f>SUM(B11:F11)</f>
        <v>2500</v>
      </c>
      <c r="H11" s="38"/>
    </row>
    <row r="12" spans="1:8">
      <c r="A12" s="29" t="s">
        <v>107</v>
      </c>
      <c r="B12" s="38">
        <v>0</v>
      </c>
      <c r="C12" s="38">
        <v>0</v>
      </c>
      <c r="D12" s="38">
        <v>0</v>
      </c>
      <c r="E12" s="38">
        <v>0</v>
      </c>
      <c r="F12" s="38">
        <f>F11/((1+B6)^(B5))</f>
        <v>1824.7020913023871</v>
      </c>
      <c r="G12" s="50">
        <f>SUM(B12:F12)</f>
        <v>1824.7020913023871</v>
      </c>
      <c r="H12" s="38"/>
    </row>
    <row r="13" spans="1:8">
      <c r="A13" s="38"/>
      <c r="B13" s="38"/>
      <c r="C13" s="38"/>
      <c r="D13" s="38"/>
      <c r="E13" s="38"/>
      <c r="F13" s="38"/>
      <c r="G13" s="38"/>
      <c r="H13" s="38"/>
    </row>
    <row r="14" spans="1:8">
      <c r="A14" s="140" t="s">
        <v>108</v>
      </c>
      <c r="B14" s="140"/>
      <c r="C14" s="140"/>
      <c r="D14" s="140"/>
      <c r="E14" s="140"/>
      <c r="F14" s="140"/>
      <c r="G14" s="140"/>
      <c r="H14" s="38"/>
    </row>
    <row r="15" spans="1:8">
      <c r="A15" s="29" t="s">
        <v>107</v>
      </c>
      <c r="B15" s="50">
        <f>B3/((1+B6)^(B5))</f>
        <v>1824.7020913023871</v>
      </c>
      <c r="C15" s="38"/>
      <c r="D15" s="38"/>
      <c r="E15" s="38"/>
      <c r="F15" s="38"/>
      <c r="G15" s="38"/>
      <c r="H15" s="38"/>
    </row>
    <row r="16" spans="1:8">
      <c r="A16" s="38"/>
      <c r="B16" s="38"/>
      <c r="C16" s="38"/>
      <c r="D16" s="38"/>
      <c r="E16" s="38"/>
      <c r="F16" s="38"/>
      <c r="G16" s="38"/>
      <c r="H16" s="38"/>
    </row>
    <row r="17" spans="1:8">
      <c r="A17" s="140" t="s">
        <v>109</v>
      </c>
      <c r="B17" s="140"/>
      <c r="C17" s="140"/>
      <c r="D17" s="140"/>
      <c r="E17" s="140"/>
      <c r="F17" s="140"/>
      <c r="G17" s="140"/>
      <c r="H17" s="38"/>
    </row>
    <row r="18" spans="1:8">
      <c r="A18" s="29" t="s">
        <v>107</v>
      </c>
      <c r="B18" s="51">
        <f>-PV(B6,B5,B4,B3)</f>
        <v>1824.7020913023871</v>
      </c>
      <c r="C18" s="38"/>
      <c r="D18" s="38"/>
      <c r="E18" s="38"/>
      <c r="F18" s="38"/>
      <c r="G18" s="38"/>
      <c r="H18" s="38"/>
    </row>
    <row r="19" spans="1:8">
      <c r="A19" s="38"/>
      <c r="B19" s="38"/>
      <c r="C19" s="38"/>
      <c r="D19" s="38"/>
      <c r="E19" s="38"/>
      <c r="F19" s="38"/>
      <c r="G19" s="38"/>
      <c r="H19" s="38"/>
    </row>
    <row r="20" spans="1:8">
      <c r="A20" s="38"/>
      <c r="B20" s="38"/>
      <c r="C20" s="38"/>
      <c r="D20" s="38"/>
      <c r="E20" s="38"/>
      <c r="F20" s="38"/>
      <c r="G20" s="38"/>
      <c r="H20" s="38"/>
    </row>
  </sheetData>
  <mergeCells count="4">
    <mergeCell ref="A9:G9"/>
    <mergeCell ref="A14:G14"/>
    <mergeCell ref="A17:G17"/>
    <mergeCell ref="A1:G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Spinner 1">
              <controlPr defaultSize="0" autoPict="0">
                <anchor moveWithCells="1" sizeWithCells="1">
                  <from>
                    <xdr:col>2</xdr:col>
                    <xdr:colOff>114300</xdr:colOff>
                    <xdr:row>2</xdr:row>
                    <xdr:rowOff>53340</xdr:rowOff>
                  </from>
                  <to>
                    <xdr:col>2</xdr:col>
                    <xdr:colOff>518160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4" name="Spinner 3">
              <controlPr defaultSize="0" autoPict="0">
                <anchor moveWithCells="1" sizeWithCells="1">
                  <from>
                    <xdr:col>2</xdr:col>
                    <xdr:colOff>121920</xdr:colOff>
                    <xdr:row>4</xdr:row>
                    <xdr:rowOff>160020</xdr:rowOff>
                  </from>
                  <to>
                    <xdr:col>2</xdr:col>
                    <xdr:colOff>525780</xdr:colOff>
                    <xdr:row>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5" name="Spinner 4">
              <controlPr defaultSize="0" autoPict="0">
                <anchor moveWithCells="1" sizeWithCells="1">
                  <from>
                    <xdr:col>2</xdr:col>
                    <xdr:colOff>114300</xdr:colOff>
                    <xdr:row>5</xdr:row>
                    <xdr:rowOff>137160</xdr:rowOff>
                  </from>
                  <to>
                    <xdr:col>2</xdr:col>
                    <xdr:colOff>518160</xdr:colOff>
                    <xdr:row>5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6" name="Spinner 2">
              <controlPr defaultSize="0" autoPict="0">
                <anchor moveWithCells="1" sizeWithCells="1">
                  <from>
                    <xdr:col>2</xdr:col>
                    <xdr:colOff>129540</xdr:colOff>
                    <xdr:row>3</xdr:row>
                    <xdr:rowOff>167640</xdr:rowOff>
                  </from>
                  <to>
                    <xdr:col>2</xdr:col>
                    <xdr:colOff>533400</xdr:colOff>
                    <xdr:row>3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08FC-10DE-43C4-882D-7863C1134827}">
  <dimension ref="A1:H21"/>
  <sheetViews>
    <sheetView showGridLines="0" zoomScale="85" zoomScaleNormal="85" workbookViewId="0">
      <selection activeCell="J28" sqref="J28"/>
    </sheetView>
  </sheetViews>
  <sheetFormatPr defaultRowHeight="14.4"/>
  <cols>
    <col min="1" max="1" width="12.21875" customWidth="1"/>
    <col min="2" max="2" width="12.21875" style="5" customWidth="1"/>
    <col min="3" max="3" width="10.88671875" customWidth="1"/>
    <col min="4" max="4" width="9.77734375" customWidth="1"/>
    <col min="5" max="5" width="10" customWidth="1"/>
    <col min="6" max="7" width="10.109375" customWidth="1"/>
    <col min="8" max="8" width="10.5546875" customWidth="1"/>
  </cols>
  <sheetData>
    <row r="1" spans="1:8" ht="15.6" customHeight="1">
      <c r="A1" s="142" t="s">
        <v>115</v>
      </c>
      <c r="B1" s="142"/>
      <c r="C1" s="142"/>
      <c r="D1" s="142"/>
      <c r="E1" s="142"/>
      <c r="F1" s="142"/>
      <c r="G1" s="142"/>
      <c r="H1" s="142"/>
    </row>
    <row r="2" spans="1:8" ht="14.4" customHeight="1">
      <c r="A2" s="142"/>
      <c r="B2" s="142"/>
      <c r="C2" s="142"/>
      <c r="D2" s="142"/>
      <c r="E2" s="142"/>
      <c r="F2" s="142"/>
      <c r="G2" s="142"/>
      <c r="H2" s="142"/>
    </row>
    <row r="3" spans="1:8">
      <c r="A3" s="142"/>
      <c r="B3" s="142"/>
      <c r="C3" s="142"/>
      <c r="D3" s="142"/>
      <c r="E3" s="142"/>
      <c r="F3" s="142"/>
      <c r="G3" s="142"/>
      <c r="H3" s="142"/>
    </row>
    <row r="4" spans="1:8" ht="24" customHeight="1">
      <c r="A4" s="29" t="s">
        <v>112</v>
      </c>
      <c r="B4" s="44">
        <v>1200</v>
      </c>
      <c r="C4" s="38"/>
      <c r="D4" s="38"/>
      <c r="E4" s="38"/>
      <c r="F4" s="38"/>
      <c r="G4" s="38"/>
      <c r="H4" s="38"/>
    </row>
    <row r="5" spans="1:8" ht="24.6" customHeight="1">
      <c r="A5" s="29" t="s">
        <v>102</v>
      </c>
      <c r="B5" s="45">
        <v>6</v>
      </c>
      <c r="C5" s="38"/>
      <c r="D5" s="38"/>
      <c r="E5" s="38"/>
      <c r="F5" s="38"/>
      <c r="G5" s="38"/>
      <c r="H5" s="38"/>
    </row>
    <row r="6" spans="1:8" ht="24" customHeight="1">
      <c r="A6" s="29" t="s">
        <v>103</v>
      </c>
      <c r="B6" s="46">
        <f>D6*0.0001</f>
        <v>4.2000000000000003E-2</v>
      </c>
      <c r="C6" s="38"/>
      <c r="D6" s="26">
        <v>420</v>
      </c>
      <c r="E6" s="1">
        <v>418</v>
      </c>
      <c r="F6" s="38"/>
      <c r="G6" s="38"/>
      <c r="H6" s="38"/>
    </row>
    <row r="7" spans="1:8" ht="16.8" customHeight="1">
      <c r="A7" s="38"/>
      <c r="B7" s="38"/>
      <c r="C7" s="38"/>
      <c r="D7" s="38"/>
      <c r="E7" s="38"/>
      <c r="F7" s="38"/>
      <c r="G7" s="38"/>
      <c r="H7" s="38"/>
    </row>
    <row r="8" spans="1:8">
      <c r="A8" s="38"/>
      <c r="B8" s="38"/>
      <c r="C8" s="38"/>
      <c r="D8" s="38"/>
      <c r="E8" s="38"/>
      <c r="F8" s="38"/>
      <c r="G8" s="38"/>
      <c r="H8" s="38"/>
    </row>
    <row r="9" spans="1:8">
      <c r="A9" s="140" t="s">
        <v>116</v>
      </c>
      <c r="B9" s="140"/>
      <c r="C9" s="140"/>
      <c r="D9" s="140"/>
      <c r="E9" s="140"/>
      <c r="F9" s="140"/>
      <c r="G9" s="140"/>
      <c r="H9" s="140"/>
    </row>
    <row r="10" spans="1:8">
      <c r="A10" s="38" t="s">
        <v>0</v>
      </c>
      <c r="B10" s="38">
        <v>0</v>
      </c>
      <c r="C10" s="38">
        <v>1</v>
      </c>
      <c r="D10" s="38">
        <v>2</v>
      </c>
      <c r="E10" s="38">
        <v>3</v>
      </c>
      <c r="F10" s="38">
        <v>4</v>
      </c>
      <c r="G10" s="38">
        <v>5</v>
      </c>
      <c r="H10" s="38">
        <v>6</v>
      </c>
    </row>
    <row r="11" spans="1:8">
      <c r="A11" s="38" t="s">
        <v>112</v>
      </c>
      <c r="B11" s="47">
        <f>$B$4</f>
        <v>1200</v>
      </c>
      <c r="C11" s="47"/>
      <c r="D11" s="47"/>
      <c r="E11" s="47"/>
      <c r="F11" s="47"/>
      <c r="G11" s="47"/>
      <c r="H11" s="47"/>
    </row>
    <row r="12" spans="1:8">
      <c r="A12" s="38" t="s">
        <v>100</v>
      </c>
      <c r="B12" s="38"/>
      <c r="C12" s="38"/>
      <c r="D12" s="38"/>
      <c r="E12" s="38"/>
      <c r="F12" s="38"/>
      <c r="G12" s="38"/>
      <c r="H12" s="69">
        <f>B4*((1+B6)^(B5))</f>
        <v>1535.9870700917093</v>
      </c>
    </row>
    <row r="13" spans="1:8">
      <c r="A13" s="29" t="s">
        <v>3</v>
      </c>
      <c r="B13" s="29"/>
      <c r="C13" s="68"/>
      <c r="D13" s="38"/>
      <c r="E13" s="38"/>
      <c r="F13" s="38"/>
      <c r="G13" s="38"/>
      <c r="H13" s="38"/>
    </row>
    <row r="14" spans="1:8">
      <c r="A14" s="38"/>
      <c r="B14" s="38"/>
      <c r="C14" s="38"/>
      <c r="D14" s="38"/>
      <c r="E14" s="38"/>
      <c r="F14" s="38"/>
      <c r="G14" s="38"/>
      <c r="H14" s="38"/>
    </row>
    <row r="15" spans="1:8">
      <c r="A15" s="38"/>
      <c r="B15" s="38"/>
      <c r="C15" s="38"/>
      <c r="D15" s="38"/>
      <c r="E15" s="38"/>
      <c r="F15" s="38"/>
      <c r="G15" s="38"/>
      <c r="H15" s="38"/>
    </row>
    <row r="16" spans="1:8">
      <c r="A16" s="140" t="s">
        <v>2</v>
      </c>
      <c r="B16" s="140"/>
      <c r="C16" s="140"/>
      <c r="D16" s="140"/>
      <c r="E16" s="140"/>
      <c r="F16" s="140"/>
      <c r="G16" s="140"/>
      <c r="H16" s="140"/>
    </row>
    <row r="17" spans="1:8">
      <c r="A17" s="29" t="s">
        <v>100</v>
      </c>
      <c r="B17" s="29"/>
      <c r="C17" s="50">
        <f>B4*((1+B6)^(B5))</f>
        <v>1535.9870700917093</v>
      </c>
      <c r="D17" s="48"/>
      <c r="E17" s="38"/>
      <c r="F17" s="38"/>
      <c r="G17" s="38"/>
      <c r="H17" s="38"/>
    </row>
    <row r="18" spans="1:8">
      <c r="A18" s="38"/>
      <c r="B18" s="38"/>
      <c r="C18" s="38"/>
      <c r="D18" s="38"/>
      <c r="E18" s="38"/>
      <c r="F18" s="38"/>
      <c r="G18" s="38"/>
      <c r="H18" s="38"/>
    </row>
    <row r="19" spans="1:8">
      <c r="A19" s="140" t="s">
        <v>4</v>
      </c>
      <c r="B19" s="140"/>
      <c r="C19" s="140"/>
      <c r="D19" s="140"/>
      <c r="E19" s="140"/>
      <c r="F19" s="140"/>
      <c r="G19" s="140"/>
      <c r="H19" s="140"/>
    </row>
    <row r="20" spans="1:8">
      <c r="A20" s="29" t="s">
        <v>100</v>
      </c>
      <c r="B20" s="29"/>
      <c r="C20" s="51">
        <f>FV(B6,B5,0,-B4)</f>
        <v>1535.9870700917093</v>
      </c>
      <c r="D20" s="38"/>
      <c r="E20" s="38"/>
      <c r="F20" s="38"/>
      <c r="G20" s="38"/>
      <c r="H20" s="38"/>
    </row>
    <row r="21" spans="1:8">
      <c r="A21" s="38"/>
      <c r="B21" s="38"/>
      <c r="C21" s="38"/>
      <c r="D21" s="38"/>
      <c r="E21" s="38"/>
      <c r="F21" s="38"/>
      <c r="G21" s="38"/>
      <c r="H21" s="38"/>
    </row>
  </sheetData>
  <mergeCells count="4">
    <mergeCell ref="A16:H16"/>
    <mergeCell ref="A19:H19"/>
    <mergeCell ref="A1:H3"/>
    <mergeCell ref="A9:H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Spinner 11">
              <controlPr defaultSize="0" autoPict="0">
                <anchor moveWithCells="1" sizeWithCells="1">
                  <from>
                    <xdr:col>2</xdr:col>
                    <xdr:colOff>68580</xdr:colOff>
                    <xdr:row>4</xdr:row>
                    <xdr:rowOff>83820</xdr:rowOff>
                  </from>
                  <to>
                    <xdr:col>2</xdr:col>
                    <xdr:colOff>548640</xdr:colOff>
                    <xdr:row>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Spinner 12">
              <controlPr defaultSize="0" autoPict="0">
                <anchor moveWithCells="1" sizeWithCells="1">
                  <from>
                    <xdr:col>2</xdr:col>
                    <xdr:colOff>68580</xdr:colOff>
                    <xdr:row>3</xdr:row>
                    <xdr:rowOff>83820</xdr:rowOff>
                  </from>
                  <to>
                    <xdr:col>2</xdr:col>
                    <xdr:colOff>548640</xdr:colOff>
                    <xdr:row>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Spinner 13">
              <controlPr defaultSize="0" autoPict="0">
                <anchor moveWithCells="1" sizeWithCells="1">
                  <from>
                    <xdr:col>2</xdr:col>
                    <xdr:colOff>60960</xdr:colOff>
                    <xdr:row>5</xdr:row>
                    <xdr:rowOff>76200</xdr:rowOff>
                  </from>
                  <to>
                    <xdr:col>2</xdr:col>
                    <xdr:colOff>541020</xdr:colOff>
                    <xdr:row>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B8F2-91DD-40E1-A94D-DC5D381EE4D4}">
  <dimension ref="A1:J17"/>
  <sheetViews>
    <sheetView showGridLines="0" zoomScale="97" zoomScaleNormal="97" workbookViewId="0">
      <selection activeCell="U25" sqref="U25"/>
    </sheetView>
  </sheetViews>
  <sheetFormatPr defaultRowHeight="14.4"/>
  <cols>
    <col min="1" max="1" width="8.88671875" style="5"/>
    <col min="2" max="2" width="9.77734375" style="5" bestFit="1" customWidth="1"/>
    <col min="3" max="16384" width="8.88671875" style="5"/>
  </cols>
  <sheetData>
    <row r="1" spans="1:10">
      <c r="A1" s="142" t="s">
        <v>110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0">
      <c r="A2" s="142"/>
      <c r="B2" s="142"/>
      <c r="C2" s="142"/>
      <c r="D2" s="142"/>
      <c r="E2" s="142"/>
      <c r="F2" s="142"/>
      <c r="G2" s="142"/>
      <c r="H2" s="142"/>
      <c r="I2" s="142"/>
      <c r="J2" s="142"/>
    </row>
    <row r="3" spans="1:10" ht="27.6" customHeight="1">
      <c r="A3" s="27" t="s">
        <v>100</v>
      </c>
      <c r="B3" s="52">
        <v>0</v>
      </c>
      <c r="C3" s="21"/>
      <c r="D3" s="21"/>
      <c r="E3" s="21"/>
      <c r="F3" s="21"/>
      <c r="G3" s="21"/>
    </row>
    <row r="4" spans="1:10" ht="24.6" customHeight="1">
      <c r="A4" s="41" t="s">
        <v>101</v>
      </c>
      <c r="B4" s="53">
        <f>D4/2</f>
        <v>185.5</v>
      </c>
      <c r="D4" s="26">
        <v>371</v>
      </c>
    </row>
    <row r="5" spans="1:10" ht="28.8" customHeight="1">
      <c r="A5" s="41" t="s">
        <v>102</v>
      </c>
      <c r="B5" s="53">
        <v>8</v>
      </c>
    </row>
    <row r="6" spans="1:10" ht="23.4" customHeight="1">
      <c r="A6" s="41" t="s">
        <v>103</v>
      </c>
      <c r="B6" s="54">
        <f>D6*0.0001</f>
        <v>5.1000000000000004E-2</v>
      </c>
      <c r="D6" s="26">
        <v>510</v>
      </c>
    </row>
    <row r="7" spans="1:10" ht="25.2" customHeight="1">
      <c r="A7" s="27"/>
      <c r="B7" s="28"/>
      <c r="D7" s="26">
        <v>5</v>
      </c>
    </row>
    <row r="8" spans="1:10">
      <c r="A8" s="140" t="s">
        <v>104</v>
      </c>
      <c r="B8" s="140"/>
      <c r="C8" s="140"/>
      <c r="D8" s="140"/>
      <c r="E8" s="140"/>
      <c r="F8" s="140"/>
      <c r="G8" s="140"/>
      <c r="H8" s="140"/>
      <c r="I8" s="140"/>
      <c r="J8" s="140"/>
    </row>
    <row r="9" spans="1:10">
      <c r="A9" s="5" t="s">
        <v>105</v>
      </c>
      <c r="B9" s="5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 t="s">
        <v>18</v>
      </c>
    </row>
    <row r="10" spans="1:10">
      <c r="A10" s="5" t="s">
        <v>106</v>
      </c>
      <c r="B10" s="5">
        <f>$B$4</f>
        <v>185.5</v>
      </c>
      <c r="C10" s="5">
        <f t="shared" ref="C10:I10" si="0">$B$4</f>
        <v>185.5</v>
      </c>
      <c r="D10" s="5">
        <f t="shared" si="0"/>
        <v>185.5</v>
      </c>
      <c r="E10" s="5">
        <f t="shared" si="0"/>
        <v>185.5</v>
      </c>
      <c r="F10" s="5">
        <f t="shared" si="0"/>
        <v>185.5</v>
      </c>
      <c r="G10" s="5">
        <f t="shared" si="0"/>
        <v>185.5</v>
      </c>
      <c r="H10" s="5">
        <f t="shared" si="0"/>
        <v>185.5</v>
      </c>
      <c r="I10" s="5">
        <f t="shared" si="0"/>
        <v>185.5</v>
      </c>
      <c r="J10" s="5">
        <f>SUM(B10:I10)</f>
        <v>1484</v>
      </c>
    </row>
    <row r="11" spans="1:10">
      <c r="A11" s="29" t="s">
        <v>107</v>
      </c>
      <c r="B11" s="5">
        <f>B10/((1+$B$6)^(B9))</f>
        <v>176.49857278782113</v>
      </c>
      <c r="C11" s="5">
        <f t="shared" ref="C11:I11" si="1">C10/((1+$B$6)^(C9))</f>
        <v>167.93394175815521</v>
      </c>
      <c r="D11" s="5">
        <f t="shared" si="1"/>
        <v>159.78491128273569</v>
      </c>
      <c r="E11" s="5">
        <f t="shared" si="1"/>
        <v>152.03131425569524</v>
      </c>
      <c r="F11" s="5">
        <f t="shared" si="1"/>
        <v>144.65396218429615</v>
      </c>
      <c r="G11" s="5">
        <f t="shared" si="1"/>
        <v>137.63459770151869</v>
      </c>
      <c r="H11" s="5">
        <f t="shared" si="1"/>
        <v>130.95584938298637</v>
      </c>
      <c r="I11" s="5">
        <f t="shared" si="1"/>
        <v>124.6011887564095</v>
      </c>
      <c r="J11" s="32">
        <f>SUM(B11:I11)</f>
        <v>1194.0943381096181</v>
      </c>
    </row>
    <row r="13" spans="1:10">
      <c r="A13" s="140" t="s">
        <v>108</v>
      </c>
      <c r="B13" s="140"/>
      <c r="C13" s="140"/>
      <c r="D13" s="140"/>
      <c r="E13" s="140"/>
      <c r="F13" s="140"/>
      <c r="G13" s="140"/>
      <c r="H13" s="140"/>
      <c r="I13" s="140"/>
      <c r="J13" s="140"/>
    </row>
    <row r="14" spans="1:10">
      <c r="A14" s="29" t="s">
        <v>107</v>
      </c>
      <c r="B14" s="30">
        <f>(B4/B6)*(1-(1/((1+B6)^(B5))))</f>
        <v>1194.0943381096176</v>
      </c>
    </row>
    <row r="16" spans="1:10">
      <c r="A16" s="140" t="s">
        <v>109</v>
      </c>
      <c r="B16" s="140"/>
      <c r="C16" s="140"/>
      <c r="D16" s="140"/>
      <c r="E16" s="140"/>
      <c r="F16" s="140"/>
      <c r="G16" s="140"/>
      <c r="H16" s="140"/>
      <c r="I16" s="140"/>
      <c r="J16" s="140"/>
    </row>
    <row r="17" spans="1:2">
      <c r="A17" s="29" t="s">
        <v>107</v>
      </c>
      <c r="B17" s="31">
        <f>-PV(B6,B5,B4,B3)</f>
        <v>1194.0943381096176</v>
      </c>
    </row>
  </sheetData>
  <mergeCells count="4">
    <mergeCell ref="A8:J8"/>
    <mergeCell ref="A13:J13"/>
    <mergeCell ref="A16:J16"/>
    <mergeCell ref="A1:J2"/>
  </mergeCell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Spinner 1">
              <controlPr defaultSize="0" autoPict="0">
                <anchor moveWithCells="1" sizeWithCells="1">
                  <from>
                    <xdr:col>2</xdr:col>
                    <xdr:colOff>121920</xdr:colOff>
                    <xdr:row>2</xdr:row>
                    <xdr:rowOff>60960</xdr:rowOff>
                  </from>
                  <to>
                    <xdr:col>2</xdr:col>
                    <xdr:colOff>533400</xdr:colOff>
                    <xdr:row>2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Spinner 2">
              <controlPr defaultSize="0" autoPict="0">
                <anchor moveWithCells="1" sizeWithCells="1">
                  <from>
                    <xdr:col>2</xdr:col>
                    <xdr:colOff>121920</xdr:colOff>
                    <xdr:row>3</xdr:row>
                    <xdr:rowOff>60960</xdr:rowOff>
                  </from>
                  <to>
                    <xdr:col>2</xdr:col>
                    <xdr:colOff>533400</xdr:colOff>
                    <xdr:row>3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Spinner 3">
              <controlPr defaultSize="0" autoPict="0">
                <anchor moveWithCells="1" sizeWithCells="1">
                  <from>
                    <xdr:col>2</xdr:col>
                    <xdr:colOff>121920</xdr:colOff>
                    <xdr:row>4</xdr:row>
                    <xdr:rowOff>60960</xdr:rowOff>
                  </from>
                  <to>
                    <xdr:col>2</xdr:col>
                    <xdr:colOff>533400</xdr:colOff>
                    <xdr:row>4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Spinner 4">
              <controlPr defaultSize="0" autoPict="0">
                <anchor moveWithCells="1" sizeWithCells="1">
                  <from>
                    <xdr:col>2</xdr:col>
                    <xdr:colOff>121920</xdr:colOff>
                    <xdr:row>5</xdr:row>
                    <xdr:rowOff>60960</xdr:rowOff>
                  </from>
                  <to>
                    <xdr:col>2</xdr:col>
                    <xdr:colOff>533400</xdr:colOff>
                    <xdr:row>5</xdr:row>
                    <xdr:rowOff>281940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4C7C-8621-4488-9118-168C1A848DA4}">
  <dimension ref="A1:O17"/>
  <sheetViews>
    <sheetView showGridLines="0" workbookViewId="0">
      <selection activeCell="A16" sqref="A16:G16"/>
    </sheetView>
  </sheetViews>
  <sheetFormatPr defaultRowHeight="14.4"/>
  <cols>
    <col min="1" max="16384" width="8.88671875" style="5"/>
  </cols>
  <sheetData>
    <row r="1" spans="1:15">
      <c r="A1" s="142" t="s">
        <v>111</v>
      </c>
      <c r="B1" s="142"/>
      <c r="C1" s="142"/>
      <c r="D1" s="142"/>
      <c r="E1" s="142"/>
      <c r="F1" s="142"/>
      <c r="G1" s="142"/>
    </row>
    <row r="2" spans="1:15" ht="31.8" customHeight="1">
      <c r="A2" s="142"/>
      <c r="B2" s="142"/>
      <c r="C2" s="142"/>
      <c r="D2" s="142"/>
      <c r="E2" s="142"/>
      <c r="F2" s="142"/>
      <c r="G2" s="142"/>
    </row>
    <row r="3" spans="1:15" ht="30" customHeight="1">
      <c r="A3" s="27" t="s">
        <v>112</v>
      </c>
      <c r="B3" s="52">
        <v>0</v>
      </c>
      <c r="C3" s="21"/>
      <c r="D3" s="21"/>
      <c r="E3" s="21"/>
      <c r="F3" s="21"/>
      <c r="G3" s="21"/>
    </row>
    <row r="4" spans="1:15" ht="30.6" customHeight="1">
      <c r="A4" s="41" t="s">
        <v>101</v>
      </c>
      <c r="B4" s="53">
        <f>-D4</f>
        <v>-75</v>
      </c>
      <c r="D4" s="26">
        <v>75</v>
      </c>
    </row>
    <row r="5" spans="1:15" ht="31.2" customHeight="1">
      <c r="A5" s="41" t="s">
        <v>102</v>
      </c>
      <c r="B5" s="53">
        <v>6</v>
      </c>
    </row>
    <row r="6" spans="1:15" ht="33" customHeight="1">
      <c r="A6" s="41" t="s">
        <v>103</v>
      </c>
      <c r="B6" s="54">
        <f>(E6/2)*0.01</f>
        <v>8.5000000000000006E-2</v>
      </c>
      <c r="D6" s="26"/>
      <c r="E6" s="26">
        <v>17</v>
      </c>
    </row>
    <row r="7" spans="1:15">
      <c r="A7" s="27"/>
      <c r="B7" s="28"/>
      <c r="D7" s="26">
        <v>5</v>
      </c>
    </row>
    <row r="8" spans="1:15">
      <c r="A8" s="140" t="s">
        <v>104</v>
      </c>
      <c r="B8" s="140"/>
      <c r="C8" s="140"/>
      <c r="D8" s="140"/>
      <c r="E8" s="140"/>
      <c r="F8" s="140"/>
      <c r="G8" s="140"/>
      <c r="H8" s="33"/>
      <c r="I8" s="33"/>
      <c r="J8" s="33"/>
    </row>
    <row r="9" spans="1:15">
      <c r="A9" s="5" t="s">
        <v>105</v>
      </c>
      <c r="B9" s="5">
        <v>1</v>
      </c>
      <c r="C9" s="5">
        <v>2</v>
      </c>
      <c r="D9" s="5">
        <v>3</v>
      </c>
      <c r="E9" s="5">
        <v>4</v>
      </c>
      <c r="F9" s="5">
        <v>5</v>
      </c>
      <c r="G9" s="5" t="s">
        <v>113</v>
      </c>
    </row>
    <row r="10" spans="1:15">
      <c r="A10" s="5" t="s">
        <v>106</v>
      </c>
      <c r="B10" s="5">
        <f>$B$4</f>
        <v>-75</v>
      </c>
      <c r="C10" s="5">
        <f>$B$4</f>
        <v>-75</v>
      </c>
      <c r="D10" s="5">
        <f>$B$4</f>
        <v>-75</v>
      </c>
      <c r="E10" s="5">
        <f>$B$4</f>
        <v>-75</v>
      </c>
      <c r="F10" s="5">
        <f>$B$4</f>
        <v>-75</v>
      </c>
      <c r="G10" s="21">
        <f>SUM(B10:F10)</f>
        <v>-375</v>
      </c>
      <c r="H10" s="21"/>
      <c r="I10" s="1" t="s">
        <v>106</v>
      </c>
      <c r="J10" s="1">
        <f>B10</f>
        <v>-75</v>
      </c>
      <c r="K10" s="1">
        <f>C10</f>
        <v>-75</v>
      </c>
      <c r="L10" s="1">
        <f>D10</f>
        <v>-75</v>
      </c>
      <c r="M10" s="1">
        <f>E10</f>
        <v>-75</v>
      </c>
      <c r="N10" s="1">
        <f>F10</f>
        <v>-75</v>
      </c>
      <c r="O10" s="26">
        <f>-G10</f>
        <v>375</v>
      </c>
    </row>
    <row r="11" spans="1:15">
      <c r="A11" s="29" t="s">
        <v>114</v>
      </c>
      <c r="B11" s="5">
        <f>-B10*((1+$B$6)^($B$5-B9))</f>
        <v>112.77425176335936</v>
      </c>
      <c r="C11" s="5">
        <f>-C10*((1+$B$6)^($B$5-C9))</f>
        <v>103.93940254687499</v>
      </c>
      <c r="D11" s="5">
        <f>-D10*((1+$B$6)^($B$5-D9))</f>
        <v>95.796684374999998</v>
      </c>
      <c r="E11" s="5">
        <f>-E10*((1+$B$6)^($B$5-E9))</f>
        <v>88.291875000000005</v>
      </c>
      <c r="F11" s="5">
        <f>-F10*((1+$B$6)^($B$5-F9))</f>
        <v>81.375</v>
      </c>
      <c r="G11" s="34">
        <f>(SUM(B11:F11))+((B3)*((1+B6)^(B5)))</f>
        <v>482.17721368523434</v>
      </c>
      <c r="H11" s="21"/>
      <c r="I11" s="1" t="s">
        <v>114</v>
      </c>
      <c r="J11" s="35">
        <f>-B11</f>
        <v>-112.77425176335936</v>
      </c>
      <c r="K11" s="35">
        <f>-C11</f>
        <v>-103.93940254687499</v>
      </c>
      <c r="L11" s="35">
        <f>-D11</f>
        <v>-95.796684374999998</v>
      </c>
      <c r="M11" s="35">
        <f>-E11</f>
        <v>-88.291875000000005</v>
      </c>
      <c r="N11" s="35">
        <f>-F11</f>
        <v>-81.375</v>
      </c>
      <c r="O11" s="36">
        <f>G11</f>
        <v>482.17721368523434</v>
      </c>
    </row>
    <row r="12" spans="1:15">
      <c r="I12" s="37"/>
      <c r="J12" s="37"/>
      <c r="K12" s="37"/>
      <c r="L12" s="37"/>
      <c r="M12" s="37"/>
      <c r="N12" s="37"/>
      <c r="O12" s="37"/>
    </row>
    <row r="13" spans="1:15">
      <c r="A13" s="140" t="s">
        <v>120</v>
      </c>
      <c r="B13" s="140"/>
      <c r="C13" s="140"/>
      <c r="D13" s="140"/>
      <c r="E13" s="140"/>
      <c r="F13" s="140"/>
      <c r="G13" s="140"/>
      <c r="H13" s="33"/>
      <c r="I13" s="33"/>
      <c r="J13" s="33"/>
    </row>
    <row r="14" spans="1:15">
      <c r="A14" s="29" t="s">
        <v>114</v>
      </c>
      <c r="B14" s="30">
        <f>((-B4/B6)*(((1+B6)^(B5-1))-1)*(1+B6))+((B3)*((1+B6)^(B5)))</f>
        <v>482.17721368523411</v>
      </c>
      <c r="H14" s="21"/>
      <c r="I14" s="21"/>
      <c r="J14" s="21"/>
    </row>
    <row r="15" spans="1:15">
      <c r="H15" s="21"/>
      <c r="I15" s="21"/>
      <c r="J15" s="21"/>
    </row>
    <row r="16" spans="1:15">
      <c r="A16" s="140" t="s">
        <v>109</v>
      </c>
      <c r="B16" s="140"/>
      <c r="C16" s="140"/>
      <c r="D16" s="140"/>
      <c r="E16" s="140"/>
      <c r="F16" s="140"/>
      <c r="G16" s="140"/>
      <c r="H16" s="33"/>
      <c r="I16" s="33"/>
      <c r="J16" s="33"/>
    </row>
    <row r="17" spans="1:2">
      <c r="A17" s="29" t="s">
        <v>114</v>
      </c>
      <c r="B17" s="31">
        <f>IF(B3=0,FV(B6,B5-1,B4,B3,1),FV(B6,B5-1,B4,0,1)+(B3*((1+B6)^(B5))))</f>
        <v>482.17721368523416</v>
      </c>
    </row>
  </sheetData>
  <mergeCells count="4">
    <mergeCell ref="A8:G8"/>
    <mergeCell ref="A13:G13"/>
    <mergeCell ref="A16:G16"/>
    <mergeCell ref="A1:G2"/>
  </mergeCell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Spinner 1">
              <controlPr defaultSize="0" autoPict="0">
                <anchor moveWithCells="1" sizeWithCells="1">
                  <from>
                    <xdr:col>2</xdr:col>
                    <xdr:colOff>121920</xdr:colOff>
                    <xdr:row>2</xdr:row>
                    <xdr:rowOff>60960</xdr:rowOff>
                  </from>
                  <to>
                    <xdr:col>2</xdr:col>
                    <xdr:colOff>502920</xdr:colOff>
                    <xdr:row>2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Spinner 2">
              <controlPr defaultSize="0" autoPict="0">
                <anchor moveWithCells="1" sizeWithCells="1">
                  <from>
                    <xdr:col>2</xdr:col>
                    <xdr:colOff>121920</xdr:colOff>
                    <xdr:row>3</xdr:row>
                    <xdr:rowOff>60960</xdr:rowOff>
                  </from>
                  <to>
                    <xdr:col>2</xdr:col>
                    <xdr:colOff>502920</xdr:colOff>
                    <xdr:row>3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Spinner 3">
              <controlPr defaultSize="0" autoPict="0">
                <anchor moveWithCells="1" sizeWithCells="1">
                  <from>
                    <xdr:col>2</xdr:col>
                    <xdr:colOff>121920</xdr:colOff>
                    <xdr:row>4</xdr:row>
                    <xdr:rowOff>60960</xdr:rowOff>
                  </from>
                  <to>
                    <xdr:col>2</xdr:col>
                    <xdr:colOff>502920</xdr:colOff>
                    <xdr:row>4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Spinner 4">
              <controlPr defaultSize="0" autoPict="0">
                <anchor moveWithCells="1" sizeWithCells="1">
                  <from>
                    <xdr:col>2</xdr:col>
                    <xdr:colOff>121920</xdr:colOff>
                    <xdr:row>5</xdr:row>
                    <xdr:rowOff>60960</xdr:rowOff>
                  </from>
                  <to>
                    <xdr:col>2</xdr:col>
                    <xdr:colOff>502920</xdr:colOff>
                    <xdr:row>5</xdr:row>
                    <xdr:rowOff>335280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2073-CEAF-4F2B-88B4-E4AE6CCBD8C0}">
  <dimension ref="A1:M13"/>
  <sheetViews>
    <sheetView showGridLines="0" zoomScaleNormal="100" workbookViewId="0">
      <selection activeCell="B4" sqref="B4:B5"/>
    </sheetView>
  </sheetViews>
  <sheetFormatPr defaultRowHeight="14.4"/>
  <cols>
    <col min="1" max="1" width="11.21875" style="5" customWidth="1"/>
    <col min="2" max="2" width="12.109375" style="5" customWidth="1"/>
    <col min="3" max="4" width="12.44140625" style="5" bestFit="1" customWidth="1"/>
    <col min="5" max="5" width="13.5546875" style="5" bestFit="1" customWidth="1"/>
    <col min="6" max="7" width="12.44140625" style="5" bestFit="1" customWidth="1"/>
    <col min="8" max="9" width="8.88671875" style="5"/>
    <col min="10" max="10" width="14.33203125" style="5" customWidth="1"/>
    <col min="11" max="11" width="11.44140625" style="5" customWidth="1"/>
    <col min="12" max="16384" width="8.88671875" style="5"/>
  </cols>
  <sheetData>
    <row r="1" spans="1:13">
      <c r="A1" s="142" t="s">
        <v>87</v>
      </c>
      <c r="B1" s="142"/>
      <c r="C1" s="142"/>
      <c r="D1" s="142"/>
      <c r="E1" s="142"/>
      <c r="F1" s="142"/>
      <c r="G1" s="142"/>
      <c r="H1" s="21"/>
      <c r="I1" s="21"/>
      <c r="J1" s="21"/>
      <c r="K1" s="22"/>
      <c r="L1" s="21"/>
      <c r="M1" s="21"/>
    </row>
    <row r="2" spans="1:13">
      <c r="A2" s="142"/>
      <c r="B2" s="142"/>
      <c r="C2" s="142"/>
      <c r="D2" s="142"/>
      <c r="E2" s="142"/>
      <c r="F2" s="142"/>
      <c r="G2" s="142"/>
      <c r="I2" s="21"/>
    </row>
    <row r="3" spans="1:13">
      <c r="A3" s="142"/>
      <c r="B3" s="142"/>
      <c r="C3" s="142"/>
      <c r="D3" s="142"/>
      <c r="E3" s="142"/>
      <c r="F3" s="142"/>
      <c r="G3" s="142"/>
    </row>
    <row r="4" spans="1:13" ht="16.2" customHeight="1">
      <c r="A4" s="143" t="s">
        <v>88</v>
      </c>
      <c r="B4" s="144">
        <f>D4*0.001</f>
        <v>7.0000000000000007E-2</v>
      </c>
      <c r="D4" s="26">
        <v>70</v>
      </c>
    </row>
    <row r="5" spans="1:13" ht="16.2" customHeight="1">
      <c r="A5" s="143"/>
      <c r="B5" s="144"/>
    </row>
    <row r="6" spans="1:13">
      <c r="A6" s="140" t="s">
        <v>89</v>
      </c>
      <c r="B6" s="140"/>
      <c r="C6" s="140"/>
      <c r="D6" s="140"/>
      <c r="E6" s="140"/>
      <c r="F6" s="140"/>
      <c r="G6" s="140"/>
    </row>
    <row r="7" spans="1:13">
      <c r="A7" s="5" t="s">
        <v>90</v>
      </c>
      <c r="B7" s="5">
        <v>0</v>
      </c>
      <c r="C7" s="5">
        <v>1</v>
      </c>
      <c r="D7" s="5">
        <v>2</v>
      </c>
      <c r="E7" s="5">
        <v>3</v>
      </c>
      <c r="F7" s="5">
        <v>4</v>
      </c>
      <c r="G7" s="5">
        <v>5</v>
      </c>
    </row>
    <row r="8" spans="1:13">
      <c r="A8" s="5" t="s">
        <v>65</v>
      </c>
      <c r="B8" s="15">
        <v>-220000</v>
      </c>
      <c r="C8" s="23">
        <v>55000</v>
      </c>
      <c r="D8" s="23">
        <v>85000</v>
      </c>
      <c r="E8" s="23">
        <v>110000</v>
      </c>
      <c r="F8" s="23">
        <v>90000</v>
      </c>
      <c r="G8" s="23">
        <v>70000</v>
      </c>
    </row>
    <row r="9" spans="1:13">
      <c r="A9" s="5" t="s">
        <v>14</v>
      </c>
      <c r="B9" s="15">
        <f>$B8</f>
        <v>-220000</v>
      </c>
      <c r="C9" s="15">
        <f>$C8/((1+$B$4)^C$7)</f>
        <v>51401.8691588785</v>
      </c>
      <c r="D9" s="15">
        <f>$D8/((1+$B$4)^D$7)</f>
        <v>74242.291903222984</v>
      </c>
      <c r="E9" s="15">
        <f>$E8/((1+$B$4)^E$7)</f>
        <v>89792.766457993712</v>
      </c>
      <c r="F9" s="15">
        <f>$F8/((1+$B$4)^F$7)</f>
        <v>68660.569084277275</v>
      </c>
      <c r="G9" s="15">
        <f>$G8/((1+$B$4)^G$7)</f>
        <v>49909.032563856788</v>
      </c>
    </row>
    <row r="10" spans="1:13">
      <c r="A10" s="29" t="s">
        <v>117</v>
      </c>
      <c r="B10" s="55">
        <f>SUM(B9:G9)</f>
        <v>114006.52916822927</v>
      </c>
    </row>
    <row r="12" spans="1:13">
      <c r="A12" s="140" t="s">
        <v>92</v>
      </c>
      <c r="B12" s="140"/>
      <c r="C12" s="140"/>
      <c r="D12" s="140"/>
      <c r="E12" s="140"/>
      <c r="F12" s="140"/>
      <c r="G12" s="140"/>
    </row>
    <row r="13" spans="1:13">
      <c r="A13" s="29" t="s">
        <v>117</v>
      </c>
      <c r="B13" s="56">
        <f>B8+NPV(B4,C8:G8)</f>
        <v>114006.52916822926</v>
      </c>
    </row>
  </sheetData>
  <mergeCells count="5">
    <mergeCell ref="A1:G3"/>
    <mergeCell ref="A6:G6"/>
    <mergeCell ref="A12:G12"/>
    <mergeCell ref="A4:A5"/>
    <mergeCell ref="B4:B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Spinner 1">
              <controlPr defaultSize="0" autoPict="0">
                <anchor moveWithCells="1" sizeWithCells="1">
                  <from>
                    <xdr:col>2</xdr:col>
                    <xdr:colOff>205740</xdr:colOff>
                    <xdr:row>3</xdr:row>
                    <xdr:rowOff>83820</xdr:rowOff>
                  </from>
                  <to>
                    <xdr:col>2</xdr:col>
                    <xdr:colOff>754380</xdr:colOff>
                    <xdr:row>4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B41A-BC0C-49B2-98FA-539BE6A2600F}">
  <dimension ref="A1:I18"/>
  <sheetViews>
    <sheetView showGridLines="0" zoomScale="115" zoomScaleNormal="115" workbookViewId="0">
      <selection activeCell="B18" sqref="B18"/>
    </sheetView>
  </sheetViews>
  <sheetFormatPr defaultRowHeight="14.4"/>
  <cols>
    <col min="1" max="1" width="20.109375" style="5" customWidth="1"/>
    <col min="2" max="2" width="14.88671875" style="5" bestFit="1" customWidth="1"/>
    <col min="3" max="5" width="11.88671875" style="5" bestFit="1" customWidth="1"/>
    <col min="6" max="6" width="13" style="5" bestFit="1" customWidth="1"/>
    <col min="7" max="7" width="11.88671875" style="5" bestFit="1" customWidth="1"/>
    <col min="8" max="16384" width="8.88671875" style="5"/>
  </cols>
  <sheetData>
    <row r="1" spans="1:9">
      <c r="A1" s="142" t="s">
        <v>93</v>
      </c>
      <c r="B1" s="142"/>
      <c r="C1" s="142"/>
      <c r="D1" s="142"/>
      <c r="E1" s="142"/>
      <c r="F1" s="142"/>
      <c r="G1" s="142"/>
      <c r="H1" s="21"/>
      <c r="I1" s="21"/>
    </row>
    <row r="2" spans="1:9">
      <c r="A2" s="142"/>
      <c r="B2" s="142"/>
      <c r="C2" s="142"/>
      <c r="D2" s="142"/>
      <c r="E2" s="142"/>
      <c r="F2" s="142"/>
      <c r="G2" s="142"/>
    </row>
    <row r="3" spans="1:9">
      <c r="A3" s="142"/>
      <c r="B3" s="142"/>
      <c r="C3" s="142"/>
      <c r="D3" s="142"/>
      <c r="E3" s="142"/>
      <c r="F3" s="142"/>
      <c r="G3" s="142"/>
    </row>
    <row r="4" spans="1:9">
      <c r="A4" s="29" t="s">
        <v>94</v>
      </c>
      <c r="B4" s="24">
        <f>D4*0.0001</f>
        <v>3.1200000000000002E-2</v>
      </c>
      <c r="D4" s="1">
        <v>312</v>
      </c>
    </row>
    <row r="5" spans="1:9">
      <c r="A5" s="29" t="s">
        <v>95</v>
      </c>
      <c r="B5" s="25">
        <f>D5*0.001</f>
        <v>0.09</v>
      </c>
      <c r="D5" s="1">
        <v>90</v>
      </c>
    </row>
    <row r="6" spans="1:9">
      <c r="A6" s="29" t="s">
        <v>118</v>
      </c>
      <c r="B6" s="9">
        <f>D6*0.0001</f>
        <v>0.12380000000000001</v>
      </c>
      <c r="D6" s="1">
        <v>1238</v>
      </c>
    </row>
    <row r="11" spans="1:9">
      <c r="A11" s="142" t="s">
        <v>89</v>
      </c>
      <c r="B11" s="142"/>
      <c r="C11" s="142"/>
      <c r="D11" s="142"/>
      <c r="E11" s="142"/>
      <c r="F11" s="142"/>
      <c r="G11" s="142"/>
    </row>
    <row r="12" spans="1:9">
      <c r="A12" s="5" t="s">
        <v>90</v>
      </c>
      <c r="B12" s="5">
        <v>0</v>
      </c>
      <c r="C12" s="5">
        <v>1</v>
      </c>
      <c r="D12" s="5">
        <v>2</v>
      </c>
      <c r="E12" s="5">
        <v>3</v>
      </c>
      <c r="F12" s="5">
        <v>4</v>
      </c>
      <c r="G12" s="5">
        <v>5</v>
      </c>
    </row>
    <row r="13" spans="1:9">
      <c r="A13" s="5" t="s">
        <v>96</v>
      </c>
      <c r="B13" s="23">
        <v>-140000</v>
      </c>
      <c r="C13" s="15">
        <v>45000</v>
      </c>
      <c r="D13" s="15">
        <v>55000</v>
      </c>
      <c r="E13" s="15">
        <v>80000</v>
      </c>
      <c r="F13" s="15">
        <v>105000</v>
      </c>
      <c r="G13" s="15">
        <v>60000</v>
      </c>
    </row>
    <row r="14" spans="1:9">
      <c r="A14" s="5" t="s">
        <v>97</v>
      </c>
      <c r="B14" s="15">
        <f>$B13</f>
        <v>-140000</v>
      </c>
      <c r="C14" s="15">
        <f>$C13/((1+$B$6)^C$12)</f>
        <v>40042.712226374802</v>
      </c>
      <c r="D14" s="15">
        <f>$D13/((1+$B$6)^D$12)</f>
        <v>43549.646486140562</v>
      </c>
      <c r="E14" s="15">
        <f>$E13/((1+$B$6)^E$12)</f>
        <v>56366.738159349698</v>
      </c>
      <c r="F14" s="15">
        <f>$F13/((1+$B$6)^F$12)</f>
        <v>65831.414694915904</v>
      </c>
      <c r="G14" s="15">
        <f>$G13/((1+$B$6)^G$12)</f>
        <v>33473.8843693163</v>
      </c>
    </row>
    <row r="15" spans="1:9">
      <c r="A15" s="29" t="s">
        <v>91</v>
      </c>
      <c r="B15" s="56">
        <f>SUM(B14:G14)</f>
        <v>99264.39593609728</v>
      </c>
    </row>
    <row r="17" spans="1:7">
      <c r="A17" s="142" t="s">
        <v>92</v>
      </c>
      <c r="B17" s="142"/>
      <c r="C17" s="142"/>
      <c r="D17" s="142"/>
      <c r="E17" s="142"/>
      <c r="F17" s="142"/>
      <c r="G17" s="142"/>
    </row>
    <row r="18" spans="1:7">
      <c r="A18" s="29" t="s">
        <v>98</v>
      </c>
      <c r="B18" s="56">
        <f>B13+NPV(B6,C13:G13)</f>
        <v>99264.395936097251</v>
      </c>
    </row>
  </sheetData>
  <mergeCells count="3">
    <mergeCell ref="A1:G3"/>
    <mergeCell ref="A11:G11"/>
    <mergeCell ref="A17:G17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Spinner 1">
              <controlPr defaultSize="0" autoPict="0">
                <anchor moveWithCells="1" sizeWithCells="1">
                  <from>
                    <xdr:col>2</xdr:col>
                    <xdr:colOff>106680</xdr:colOff>
                    <xdr:row>3</xdr:row>
                    <xdr:rowOff>22860</xdr:rowOff>
                  </from>
                  <to>
                    <xdr:col>2</xdr:col>
                    <xdr:colOff>708660</xdr:colOff>
                    <xdr:row>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Spinner 2">
              <controlPr defaultSize="0" autoPict="0">
                <anchor moveWithCells="1" sizeWithCells="1">
                  <from>
                    <xdr:col>2</xdr:col>
                    <xdr:colOff>106680</xdr:colOff>
                    <xdr:row>4</xdr:row>
                    <xdr:rowOff>22860</xdr:rowOff>
                  </from>
                  <to>
                    <xdr:col>2</xdr:col>
                    <xdr:colOff>708660</xdr:colOff>
                    <xdr:row>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Spinner 3">
              <controlPr defaultSize="0" autoPict="0">
                <anchor moveWithCells="1" sizeWithCells="1">
                  <from>
                    <xdr:col>2</xdr:col>
                    <xdr:colOff>106680</xdr:colOff>
                    <xdr:row>5</xdr:row>
                    <xdr:rowOff>22860</xdr:rowOff>
                  </from>
                  <to>
                    <xdr:col>2</xdr:col>
                    <xdr:colOff>708660</xdr:colOff>
                    <xdr:row>5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C2D8-D88D-43A7-A384-B33F2ADB0432}">
  <dimension ref="A1:AB23"/>
  <sheetViews>
    <sheetView showGridLines="0" zoomScale="70" zoomScaleNormal="70" workbookViewId="0">
      <selection activeCell="J40" sqref="J40"/>
    </sheetView>
  </sheetViews>
  <sheetFormatPr defaultRowHeight="14.4"/>
  <cols>
    <col min="1" max="1" width="18.5546875" customWidth="1"/>
    <col min="2" max="2" width="10.44140625" bestFit="1" customWidth="1"/>
    <col min="3" max="7" width="10.5546875" customWidth="1"/>
    <col min="8" max="27" width="10.44140625" bestFit="1" customWidth="1"/>
  </cols>
  <sheetData>
    <row r="1" spans="1:28">
      <c r="A1" s="145" t="s">
        <v>122</v>
      </c>
      <c r="B1" s="145"/>
      <c r="C1" s="145"/>
      <c r="D1" s="145"/>
    </row>
    <row r="2" spans="1:28">
      <c r="A2" s="145"/>
      <c r="B2" s="145"/>
      <c r="C2" s="145"/>
      <c r="D2" s="145"/>
    </row>
    <row r="3" spans="1:2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s="3" t="s">
        <v>1</v>
      </c>
      <c r="B4" s="57">
        <f>C4*10000</f>
        <v>250000</v>
      </c>
      <c r="C4" s="60">
        <v>25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3" t="s">
        <v>5</v>
      </c>
      <c r="B5" s="58">
        <f>C5*0.0001</f>
        <v>8.5000000000000006E-2</v>
      </c>
      <c r="C5" s="61">
        <v>850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s="3" t="s">
        <v>6</v>
      </c>
      <c r="B6" s="59">
        <v>25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s="2" t="s">
        <v>12</v>
      </c>
      <c r="B12" s="4">
        <f>PMT(B5,B6,-B4,0)</f>
        <v>24427.920624260845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s="2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s="2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2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>
      <c r="A18" s="66" t="s">
        <v>7</v>
      </c>
      <c r="B18" s="62">
        <v>1</v>
      </c>
      <c r="C18" s="62">
        <v>2</v>
      </c>
      <c r="D18" s="62">
        <v>3</v>
      </c>
      <c r="E18" s="62">
        <v>4</v>
      </c>
      <c r="F18" s="62">
        <v>5</v>
      </c>
      <c r="G18" s="62">
        <v>6</v>
      </c>
      <c r="H18" s="62">
        <v>7</v>
      </c>
      <c r="I18" s="62">
        <v>8</v>
      </c>
      <c r="J18" s="62">
        <v>9</v>
      </c>
      <c r="K18" s="62">
        <v>10</v>
      </c>
      <c r="L18" s="62">
        <v>11</v>
      </c>
      <c r="M18" s="62">
        <v>12</v>
      </c>
      <c r="N18" s="62">
        <v>13</v>
      </c>
      <c r="O18" s="62">
        <v>14</v>
      </c>
      <c r="P18" s="62">
        <v>15</v>
      </c>
      <c r="Q18" s="62">
        <v>16</v>
      </c>
      <c r="R18" s="62">
        <v>17</v>
      </c>
      <c r="S18" s="62">
        <v>18</v>
      </c>
      <c r="T18" s="62">
        <v>19</v>
      </c>
      <c r="U18" s="62">
        <v>20</v>
      </c>
      <c r="V18" s="62">
        <v>21</v>
      </c>
      <c r="W18" s="62">
        <v>22</v>
      </c>
      <c r="X18" s="62">
        <v>23</v>
      </c>
      <c r="Y18" s="62">
        <v>24</v>
      </c>
      <c r="Z18" s="62">
        <v>25</v>
      </c>
      <c r="AA18" s="62">
        <v>26</v>
      </c>
      <c r="AB18" s="2"/>
    </row>
    <row r="19" spans="1:28">
      <c r="A19" s="66" t="s">
        <v>11</v>
      </c>
      <c r="B19" s="63">
        <f>$B$4</f>
        <v>250000</v>
      </c>
      <c r="C19" s="64">
        <f>B$19-B$22</f>
        <v>246822.07937573915</v>
      </c>
      <c r="D19" s="64">
        <f t="shared" ref="D19:AA19" si="0">C$19-C$22</f>
        <v>243374.03549841614</v>
      </c>
      <c r="E19" s="64">
        <f t="shared" si="0"/>
        <v>239632.90789152068</v>
      </c>
      <c r="F19" s="64">
        <f t="shared" si="0"/>
        <v>235573.78443803909</v>
      </c>
      <c r="G19" s="64">
        <f t="shared" si="0"/>
        <v>231169.63549101158</v>
      </c>
      <c r="H19" s="64">
        <f t="shared" si="0"/>
        <v>226391.13388348671</v>
      </c>
      <c r="I19" s="64">
        <f t="shared" si="0"/>
        <v>221206.45963932225</v>
      </c>
      <c r="J19" s="64">
        <f t="shared" si="0"/>
        <v>215581.0880844038</v>
      </c>
      <c r="K19" s="64">
        <f t="shared" si="0"/>
        <v>209477.55994731729</v>
      </c>
      <c r="L19" s="64">
        <f t="shared" si="0"/>
        <v>202855.23191857841</v>
      </c>
      <c r="M19" s="64">
        <f t="shared" si="0"/>
        <v>195670.00600739673</v>
      </c>
      <c r="N19" s="64">
        <f t="shared" si="0"/>
        <v>187874.03589376461</v>
      </c>
      <c r="O19" s="64">
        <f t="shared" si="0"/>
        <v>179415.40832047377</v>
      </c>
      <c r="P19" s="64">
        <f t="shared" si="0"/>
        <v>170237.79740345321</v>
      </c>
      <c r="Q19" s="64">
        <f t="shared" si="0"/>
        <v>160280.0895584859</v>
      </c>
      <c r="R19" s="64">
        <f t="shared" si="0"/>
        <v>149475.97654669636</v>
      </c>
      <c r="S19" s="64">
        <f t="shared" si="0"/>
        <v>137753.51392890469</v>
      </c>
      <c r="T19" s="64">
        <f t="shared" si="0"/>
        <v>125034.64198860075</v>
      </c>
      <c r="U19" s="64">
        <f t="shared" si="0"/>
        <v>111234.66593337097</v>
      </c>
      <c r="V19" s="64">
        <f t="shared" si="0"/>
        <v>96261.691913446659</v>
      </c>
      <c r="W19" s="64">
        <f t="shared" si="0"/>
        <v>80016.015101828787</v>
      </c>
      <c r="X19" s="64">
        <f t="shared" si="0"/>
        <v>62389.455761223391</v>
      </c>
      <c r="Y19" s="64">
        <f t="shared" si="0"/>
        <v>43264.638876666533</v>
      </c>
      <c r="Z19" s="64">
        <f t="shared" si="0"/>
        <v>22514.212556922343</v>
      </c>
      <c r="AA19" s="64">
        <f t="shared" si="0"/>
        <v>-1.0186340659856796E-10</v>
      </c>
      <c r="AB19" s="2"/>
    </row>
    <row r="20" spans="1:28">
      <c r="A20" s="66" t="s">
        <v>8</v>
      </c>
      <c r="B20" s="65">
        <f>PMT($B$5,$B$6,-$B$4,0)</f>
        <v>24427.920624260845</v>
      </c>
      <c r="C20" s="65">
        <f t="shared" ref="C20:AA20" si="1">PMT($B$5,$B$6,-$B$4,0)</f>
        <v>24427.920624260845</v>
      </c>
      <c r="D20" s="65">
        <f t="shared" si="1"/>
        <v>24427.920624260845</v>
      </c>
      <c r="E20" s="65">
        <f t="shared" si="1"/>
        <v>24427.920624260845</v>
      </c>
      <c r="F20" s="65">
        <f t="shared" si="1"/>
        <v>24427.920624260845</v>
      </c>
      <c r="G20" s="65">
        <f t="shared" si="1"/>
        <v>24427.920624260845</v>
      </c>
      <c r="H20" s="65">
        <f t="shared" si="1"/>
        <v>24427.920624260845</v>
      </c>
      <c r="I20" s="65">
        <f t="shared" si="1"/>
        <v>24427.920624260845</v>
      </c>
      <c r="J20" s="65">
        <f t="shared" si="1"/>
        <v>24427.920624260845</v>
      </c>
      <c r="K20" s="65">
        <f t="shared" si="1"/>
        <v>24427.920624260845</v>
      </c>
      <c r="L20" s="65">
        <f t="shared" si="1"/>
        <v>24427.920624260845</v>
      </c>
      <c r="M20" s="65">
        <f t="shared" si="1"/>
        <v>24427.920624260845</v>
      </c>
      <c r="N20" s="65">
        <f t="shared" si="1"/>
        <v>24427.920624260845</v>
      </c>
      <c r="O20" s="65">
        <f t="shared" si="1"/>
        <v>24427.920624260845</v>
      </c>
      <c r="P20" s="65">
        <f t="shared" si="1"/>
        <v>24427.920624260845</v>
      </c>
      <c r="Q20" s="65">
        <f t="shared" si="1"/>
        <v>24427.920624260845</v>
      </c>
      <c r="R20" s="65">
        <f t="shared" si="1"/>
        <v>24427.920624260845</v>
      </c>
      <c r="S20" s="65">
        <f t="shared" si="1"/>
        <v>24427.920624260845</v>
      </c>
      <c r="T20" s="65">
        <f t="shared" si="1"/>
        <v>24427.920624260845</v>
      </c>
      <c r="U20" s="65">
        <f t="shared" si="1"/>
        <v>24427.920624260845</v>
      </c>
      <c r="V20" s="65">
        <f t="shared" si="1"/>
        <v>24427.920624260845</v>
      </c>
      <c r="W20" s="65">
        <f t="shared" si="1"/>
        <v>24427.920624260845</v>
      </c>
      <c r="X20" s="65">
        <f t="shared" si="1"/>
        <v>24427.920624260845</v>
      </c>
      <c r="Y20" s="65">
        <f t="shared" si="1"/>
        <v>24427.920624260845</v>
      </c>
      <c r="Z20" s="65">
        <f t="shared" si="1"/>
        <v>24427.920624260845</v>
      </c>
      <c r="AA20" s="65">
        <f t="shared" si="1"/>
        <v>24427.920624260845</v>
      </c>
      <c r="AB20" s="2"/>
    </row>
    <row r="21" spans="1:28">
      <c r="A21" s="66" t="s">
        <v>9</v>
      </c>
      <c r="B21" s="65">
        <f>$B$5*B19</f>
        <v>21250</v>
      </c>
      <c r="C21" s="65">
        <f t="shared" ref="C21:AA21" si="2">$B$5*C19</f>
        <v>20979.876746937829</v>
      </c>
      <c r="D21" s="65">
        <f t="shared" si="2"/>
        <v>20686.793017365373</v>
      </c>
      <c r="E21" s="65">
        <f t="shared" si="2"/>
        <v>20368.79717077926</v>
      </c>
      <c r="F21" s="65">
        <f t="shared" si="2"/>
        <v>20023.771677233322</v>
      </c>
      <c r="G21" s="65">
        <f t="shared" si="2"/>
        <v>19649.419016735985</v>
      </c>
      <c r="H21" s="65">
        <f t="shared" si="2"/>
        <v>19243.246380096371</v>
      </c>
      <c r="I21" s="65">
        <f t="shared" si="2"/>
        <v>18802.549069342393</v>
      </c>
      <c r="J21" s="65">
        <f t="shared" si="2"/>
        <v>18324.392487174326</v>
      </c>
      <c r="K21" s="65">
        <f t="shared" si="2"/>
        <v>17805.592595521972</v>
      </c>
      <c r="L21" s="65">
        <f t="shared" si="2"/>
        <v>17242.694713079167</v>
      </c>
      <c r="M21" s="65">
        <f t="shared" si="2"/>
        <v>16631.950510628725</v>
      </c>
      <c r="N21" s="65">
        <f t="shared" si="2"/>
        <v>15969.293050969993</v>
      </c>
      <c r="O21" s="65">
        <f t="shared" si="2"/>
        <v>15250.309707240271</v>
      </c>
      <c r="P21" s="65">
        <f t="shared" si="2"/>
        <v>14470.212779293524</v>
      </c>
      <c r="Q21" s="65">
        <f t="shared" si="2"/>
        <v>13623.807612471302</v>
      </c>
      <c r="R21" s="65">
        <f t="shared" si="2"/>
        <v>12705.458006469191</v>
      </c>
      <c r="S21" s="65">
        <f t="shared" si="2"/>
        <v>11709.0486839569</v>
      </c>
      <c r="T21" s="65">
        <f t="shared" si="2"/>
        <v>10627.944569031064</v>
      </c>
      <c r="U21" s="65">
        <f t="shared" si="2"/>
        <v>9454.9466043365337</v>
      </c>
      <c r="V21" s="65">
        <f t="shared" si="2"/>
        <v>8182.243812642967</v>
      </c>
      <c r="W21" s="65">
        <f t="shared" si="2"/>
        <v>6801.3612836554476</v>
      </c>
      <c r="X21" s="65">
        <f t="shared" si="2"/>
        <v>5303.103739703989</v>
      </c>
      <c r="Y21" s="65">
        <f t="shared" si="2"/>
        <v>3677.4943045166556</v>
      </c>
      <c r="Z21" s="65">
        <f t="shared" si="2"/>
        <v>1913.7080673383994</v>
      </c>
      <c r="AA21" s="65">
        <f t="shared" si="2"/>
        <v>-8.6583895608782781E-12</v>
      </c>
      <c r="AB21" s="2"/>
    </row>
    <row r="22" spans="1:28">
      <c r="A22" s="66" t="s">
        <v>10</v>
      </c>
      <c r="B22" s="65">
        <f>B20-B21</f>
        <v>3177.9206242608452</v>
      </c>
      <c r="C22" s="65">
        <f t="shared" ref="C22:AA22" si="3">C20-C21</f>
        <v>3448.0438773230162</v>
      </c>
      <c r="D22" s="65">
        <f t="shared" si="3"/>
        <v>3741.1276068954721</v>
      </c>
      <c r="E22" s="65">
        <f t="shared" si="3"/>
        <v>4059.1234534815849</v>
      </c>
      <c r="F22" s="65">
        <f t="shared" si="3"/>
        <v>4404.1489470275228</v>
      </c>
      <c r="G22" s="65">
        <f t="shared" si="3"/>
        <v>4778.5016075248604</v>
      </c>
      <c r="H22" s="65">
        <f t="shared" si="3"/>
        <v>5184.6742441644747</v>
      </c>
      <c r="I22" s="65">
        <f t="shared" si="3"/>
        <v>5625.3715549184526</v>
      </c>
      <c r="J22" s="65">
        <f t="shared" si="3"/>
        <v>6103.5281370865196</v>
      </c>
      <c r="K22" s="65">
        <f t="shared" si="3"/>
        <v>6622.3280287388734</v>
      </c>
      <c r="L22" s="65">
        <f t="shared" si="3"/>
        <v>7185.2259111816784</v>
      </c>
      <c r="M22" s="65">
        <f t="shared" si="3"/>
        <v>7795.97011363212</v>
      </c>
      <c r="N22" s="65">
        <f t="shared" si="3"/>
        <v>8458.6275732908525</v>
      </c>
      <c r="O22" s="65">
        <f t="shared" si="3"/>
        <v>9177.6109170205746</v>
      </c>
      <c r="P22" s="65">
        <f t="shared" si="3"/>
        <v>9957.7078449673209</v>
      </c>
      <c r="Q22" s="65">
        <f t="shared" si="3"/>
        <v>10804.113011789543</v>
      </c>
      <c r="R22" s="65">
        <f t="shared" si="3"/>
        <v>11722.462617791654</v>
      </c>
      <c r="S22" s="65">
        <f t="shared" si="3"/>
        <v>12718.871940303945</v>
      </c>
      <c r="T22" s="65">
        <f t="shared" si="3"/>
        <v>13799.976055229781</v>
      </c>
      <c r="U22" s="65">
        <f t="shared" si="3"/>
        <v>14972.974019924312</v>
      </c>
      <c r="V22" s="65">
        <f t="shared" si="3"/>
        <v>16245.676811617879</v>
      </c>
      <c r="W22" s="65">
        <f t="shared" si="3"/>
        <v>17626.559340605396</v>
      </c>
      <c r="X22" s="65">
        <f t="shared" si="3"/>
        <v>19124.816884556858</v>
      </c>
      <c r="Y22" s="65">
        <f t="shared" si="3"/>
        <v>20750.426319744191</v>
      </c>
      <c r="Z22" s="65">
        <f t="shared" si="3"/>
        <v>22514.212556922444</v>
      </c>
      <c r="AA22" s="65">
        <f t="shared" si="3"/>
        <v>24427.920624260852</v>
      </c>
      <c r="AB22" s="2"/>
    </row>
    <row r="23" spans="1:28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2"/>
    </row>
  </sheetData>
  <mergeCells count="1">
    <mergeCell ref="A1:D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3" name="Spinner 4">
              <controlPr defaultSize="0" autoPict="0">
                <anchor moveWithCells="1" sizeWithCells="1">
                  <from>
                    <xdr:col>0</xdr:col>
                    <xdr:colOff>1143000</xdr:colOff>
                    <xdr:row>4</xdr:row>
                    <xdr:rowOff>7620</xdr:rowOff>
                  </from>
                  <to>
                    <xdr:col>1</xdr:col>
                    <xdr:colOff>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Spinner 3">
              <controlPr defaultSize="0" autoPict="0">
                <anchor moveWithCells="1" sizeWithCells="1">
                  <from>
                    <xdr:col>0</xdr:col>
                    <xdr:colOff>1143000</xdr:colOff>
                    <xdr:row>3</xdr:row>
                    <xdr:rowOff>7620</xdr:rowOff>
                  </from>
                  <to>
                    <xdr:col>1</xdr:col>
                    <xdr:colOff>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Spinner 5">
              <controlPr defaultSize="0" autoPict="0">
                <anchor moveWithCells="1" sizeWithCells="1">
                  <from>
                    <xdr:col>0</xdr:col>
                    <xdr:colOff>1143000</xdr:colOff>
                    <xdr:row>5</xdr:row>
                    <xdr:rowOff>7620</xdr:rowOff>
                  </from>
                  <to>
                    <xdr:col>1</xdr:col>
                    <xdr:colOff>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45A8-C513-4B9F-A785-3C6FEDAB9E2C}">
  <dimension ref="A1:AE37"/>
  <sheetViews>
    <sheetView showGridLines="0" topLeftCell="A4" zoomScaleNormal="100" workbookViewId="0">
      <selection activeCell="D24" sqref="D24"/>
    </sheetView>
  </sheetViews>
  <sheetFormatPr defaultRowHeight="14.4"/>
  <cols>
    <col min="1" max="1" width="19.44140625" style="5" customWidth="1"/>
    <col min="2" max="2" width="11.6640625" style="5" customWidth="1"/>
    <col min="3" max="3" width="12.77734375" style="5" customWidth="1"/>
    <col min="4" max="4" width="13.6640625" style="5" customWidth="1"/>
    <col min="5" max="5" width="12.5546875" style="5" customWidth="1"/>
    <col min="6" max="6" width="11.21875" style="5" customWidth="1"/>
    <col min="7" max="7" width="11.33203125" style="5" customWidth="1"/>
    <col min="8" max="9" width="12.21875" style="5" customWidth="1"/>
    <col min="10" max="10" width="12" style="5" customWidth="1"/>
    <col min="11" max="12" width="11.21875" style="5" customWidth="1"/>
    <col min="13" max="13" width="10.6640625" style="5" customWidth="1"/>
    <col min="14" max="14" width="11.44140625" style="5" customWidth="1"/>
    <col min="15" max="15" width="10.6640625" style="5" customWidth="1"/>
    <col min="16" max="16" width="9.88671875" style="5" customWidth="1"/>
    <col min="17" max="18" width="11.77734375" style="5" customWidth="1"/>
    <col min="19" max="19" width="11.44140625" style="5" customWidth="1"/>
    <col min="20" max="20" width="10.77734375" style="5" customWidth="1"/>
    <col min="21" max="21" width="10.33203125" style="5" customWidth="1"/>
    <col min="22" max="22" width="10.6640625" style="5" customWidth="1"/>
    <col min="23" max="24" width="11.21875" style="5" customWidth="1"/>
    <col min="25" max="25" width="9.5546875" style="5" customWidth="1"/>
    <col min="26" max="26" width="10.77734375" style="5" customWidth="1"/>
    <col min="27" max="27" width="13.33203125" style="5" customWidth="1"/>
    <col min="28" max="30" width="11.33203125" style="5" bestFit="1" customWidth="1"/>
    <col min="31" max="31" width="11" style="5" customWidth="1"/>
    <col min="32" max="16384" width="8.88671875" style="5"/>
  </cols>
  <sheetData>
    <row r="1" spans="1:31">
      <c r="A1" s="142" t="s">
        <v>119</v>
      </c>
      <c r="B1" s="142"/>
      <c r="C1" s="142"/>
      <c r="D1" s="142"/>
    </row>
    <row r="2" spans="1:31">
      <c r="A2" s="142"/>
      <c r="B2" s="142"/>
      <c r="C2" s="142"/>
      <c r="D2" s="142"/>
    </row>
    <row r="3" spans="1:31">
      <c r="A3" s="142"/>
      <c r="B3" s="142"/>
      <c r="C3" s="142"/>
      <c r="D3" s="142"/>
    </row>
    <row r="5" spans="1:31">
      <c r="A5" s="151" t="s">
        <v>13</v>
      </c>
      <c r="B5" s="148"/>
    </row>
    <row r="6" spans="1:31" ht="19.95" customHeight="1">
      <c r="A6" s="152" t="s">
        <v>14</v>
      </c>
      <c r="B6" s="158">
        <f>D6*10000</f>
        <v>200000</v>
      </c>
      <c r="D6" s="26">
        <v>20</v>
      </c>
    </row>
    <row r="7" spans="1:31" ht="19.95" customHeight="1">
      <c r="A7" s="152" t="s">
        <v>5</v>
      </c>
      <c r="B7" s="181">
        <f>D7*0.0001</f>
        <v>9.1999999999999998E-2</v>
      </c>
      <c r="D7" s="26">
        <v>920</v>
      </c>
    </row>
    <row r="8" spans="1:31" ht="25.5" customHeight="1">
      <c r="A8" s="152" t="s">
        <v>15</v>
      </c>
      <c r="B8" s="153">
        <v>20</v>
      </c>
    </row>
    <row r="11" spans="1:31">
      <c r="A11" s="156" t="s">
        <v>16</v>
      </c>
      <c r="B11" s="157">
        <f>PMT(B7,B8,-B6,0,0)</f>
        <v>22222.421905814503</v>
      </c>
    </row>
    <row r="13" spans="1:31">
      <c r="A13" s="21"/>
    </row>
    <row r="14" spans="1:31">
      <c r="A14" s="148" t="s">
        <v>17</v>
      </c>
      <c r="B14" s="148">
        <v>1</v>
      </c>
      <c r="C14" s="148">
        <v>2</v>
      </c>
      <c r="D14" s="148">
        <v>3</v>
      </c>
      <c r="E14" s="148">
        <v>4</v>
      </c>
      <c r="F14" s="148">
        <v>5</v>
      </c>
      <c r="G14" s="148">
        <v>6</v>
      </c>
      <c r="H14" s="148">
        <v>7</v>
      </c>
      <c r="I14" s="148">
        <v>8</v>
      </c>
      <c r="J14" s="148">
        <v>9</v>
      </c>
      <c r="K14" s="148">
        <v>10</v>
      </c>
      <c r="L14" s="148">
        <v>11</v>
      </c>
      <c r="M14" s="148">
        <v>12</v>
      </c>
      <c r="N14" s="148">
        <v>13</v>
      </c>
      <c r="O14" s="148">
        <v>14</v>
      </c>
      <c r="P14" s="148">
        <v>15</v>
      </c>
      <c r="Q14" s="148">
        <v>16</v>
      </c>
      <c r="R14" s="148">
        <v>17</v>
      </c>
      <c r="S14" s="148">
        <v>18</v>
      </c>
      <c r="T14" s="148">
        <v>19</v>
      </c>
      <c r="U14" s="148">
        <v>20</v>
      </c>
      <c r="V14" s="148"/>
      <c r="W14" s="148" t="s">
        <v>18</v>
      </c>
    </row>
    <row r="15" spans="1:31">
      <c r="A15" s="148" t="s">
        <v>19</v>
      </c>
      <c r="B15" s="155">
        <f>$B$6</f>
        <v>200000</v>
      </c>
      <c r="C15" s="155">
        <f t="shared" ref="C15:U15" si="0">B15-B18</f>
        <v>196177.5780941855</v>
      </c>
      <c r="D15" s="155">
        <f t="shared" si="0"/>
        <v>192003.49337303606</v>
      </c>
      <c r="E15" s="155">
        <f t="shared" si="0"/>
        <v>187445.39285754086</v>
      </c>
      <c r="F15" s="155">
        <f t="shared" si="0"/>
        <v>182467.94709462012</v>
      </c>
      <c r="G15" s="155">
        <f t="shared" si="0"/>
        <v>177032.57632151066</v>
      </c>
      <c r="H15" s="155">
        <f t="shared" si="0"/>
        <v>171097.15143727514</v>
      </c>
      <c r="I15" s="155">
        <f t="shared" si="0"/>
        <v>164615.66746368996</v>
      </c>
      <c r="J15" s="155">
        <f t="shared" si="0"/>
        <v>157537.88696453493</v>
      </c>
      <c r="K15" s="155">
        <f t="shared" si="0"/>
        <v>149808.95065945765</v>
      </c>
      <c r="L15" s="155">
        <f t="shared" si="0"/>
        <v>141368.95221431326</v>
      </c>
      <c r="M15" s="155">
        <f t="shared" si="0"/>
        <v>132152.47391221559</v>
      </c>
      <c r="N15" s="155">
        <f t="shared" si="0"/>
        <v>122088.07960632491</v>
      </c>
      <c r="O15" s="155">
        <f t="shared" si="0"/>
        <v>111097.7610242923</v>
      </c>
      <c r="P15" s="155">
        <f t="shared" si="0"/>
        <v>99096.33313271268</v>
      </c>
      <c r="Q15" s="155">
        <f t="shared" si="0"/>
        <v>85990.773875107741</v>
      </c>
      <c r="R15" s="155">
        <f t="shared" si="0"/>
        <v>71679.503165803151</v>
      </c>
      <c r="S15" s="155">
        <f t="shared" si="0"/>
        <v>56051.595551242543</v>
      </c>
      <c r="T15" s="155">
        <f t="shared" si="0"/>
        <v>38985.920436142354</v>
      </c>
      <c r="U15" s="155">
        <f t="shared" si="0"/>
        <v>20350.20321045295</v>
      </c>
      <c r="V15" s="155"/>
      <c r="W15" s="155"/>
      <c r="X15" s="10"/>
      <c r="Y15" s="10"/>
      <c r="Z15" s="10"/>
      <c r="AA15" s="10"/>
      <c r="AB15" s="10"/>
      <c r="AC15" s="10"/>
      <c r="AD15" s="10"/>
      <c r="AE15" s="10"/>
    </row>
    <row r="16" spans="1:31">
      <c r="A16" s="148" t="s">
        <v>20</v>
      </c>
      <c r="B16" s="155">
        <f t="shared" ref="B16:U16" si="1">PMT($B$7,$B$8,-$B$6,0,0)</f>
        <v>22222.421905814503</v>
      </c>
      <c r="C16" s="155">
        <f t="shared" si="1"/>
        <v>22222.421905814503</v>
      </c>
      <c r="D16" s="155">
        <f t="shared" si="1"/>
        <v>22222.421905814503</v>
      </c>
      <c r="E16" s="155">
        <f t="shared" si="1"/>
        <v>22222.421905814503</v>
      </c>
      <c r="F16" s="155">
        <f t="shared" si="1"/>
        <v>22222.421905814503</v>
      </c>
      <c r="G16" s="155">
        <f t="shared" si="1"/>
        <v>22222.421905814503</v>
      </c>
      <c r="H16" s="155">
        <f t="shared" si="1"/>
        <v>22222.421905814503</v>
      </c>
      <c r="I16" s="155">
        <f t="shared" si="1"/>
        <v>22222.421905814503</v>
      </c>
      <c r="J16" s="155">
        <f t="shared" si="1"/>
        <v>22222.421905814503</v>
      </c>
      <c r="K16" s="155">
        <f t="shared" si="1"/>
        <v>22222.421905814503</v>
      </c>
      <c r="L16" s="155">
        <f t="shared" si="1"/>
        <v>22222.421905814503</v>
      </c>
      <c r="M16" s="155">
        <f t="shared" si="1"/>
        <v>22222.421905814503</v>
      </c>
      <c r="N16" s="155">
        <f t="shared" si="1"/>
        <v>22222.421905814503</v>
      </c>
      <c r="O16" s="155">
        <f t="shared" si="1"/>
        <v>22222.421905814503</v>
      </c>
      <c r="P16" s="155">
        <f t="shared" si="1"/>
        <v>22222.421905814503</v>
      </c>
      <c r="Q16" s="155">
        <f t="shared" si="1"/>
        <v>22222.421905814503</v>
      </c>
      <c r="R16" s="155">
        <f t="shared" si="1"/>
        <v>22222.421905814503</v>
      </c>
      <c r="S16" s="155">
        <f t="shared" si="1"/>
        <v>22222.421905814503</v>
      </c>
      <c r="T16" s="155">
        <f t="shared" si="1"/>
        <v>22222.421905814503</v>
      </c>
      <c r="U16" s="155">
        <f t="shared" si="1"/>
        <v>22222.421905814503</v>
      </c>
      <c r="V16" s="155"/>
      <c r="W16" s="155">
        <f>SUM(B16:U16)</f>
        <v>444448.43811628997</v>
      </c>
      <c r="X16" s="10"/>
      <c r="Y16" s="10"/>
      <c r="Z16" s="10"/>
      <c r="AA16" s="10"/>
      <c r="AB16" s="10"/>
      <c r="AC16" s="10"/>
      <c r="AD16" s="10"/>
      <c r="AE16" s="10"/>
    </row>
    <row r="17" spans="1:31">
      <c r="A17" s="148" t="s">
        <v>21</v>
      </c>
      <c r="B17" s="163">
        <f t="shared" ref="B17:U17" si="2">$B$7*B15</f>
        <v>18400</v>
      </c>
      <c r="C17" s="163">
        <f t="shared" si="2"/>
        <v>18048.337184665066</v>
      </c>
      <c r="D17" s="163">
        <f t="shared" si="2"/>
        <v>17664.321390319317</v>
      </c>
      <c r="E17" s="163">
        <f t="shared" si="2"/>
        <v>17244.97614289376</v>
      </c>
      <c r="F17" s="163">
        <f t="shared" si="2"/>
        <v>16787.051132705052</v>
      </c>
      <c r="G17" s="163">
        <f t="shared" si="2"/>
        <v>16286.99702157898</v>
      </c>
      <c r="H17" s="163">
        <f t="shared" si="2"/>
        <v>15740.937932229313</v>
      </c>
      <c r="I17" s="163">
        <f t="shared" si="2"/>
        <v>15144.641406659475</v>
      </c>
      <c r="J17" s="163">
        <f t="shared" si="2"/>
        <v>14493.485600737213</v>
      </c>
      <c r="K17" s="163">
        <f t="shared" si="2"/>
        <v>13782.423460670103</v>
      </c>
      <c r="L17" s="163">
        <f t="shared" si="2"/>
        <v>13005.94360371682</v>
      </c>
      <c r="M17" s="163">
        <f t="shared" si="2"/>
        <v>12158.027599923835</v>
      </c>
      <c r="N17" s="163">
        <f t="shared" si="2"/>
        <v>11232.103323781892</v>
      </c>
      <c r="O17" s="163">
        <f t="shared" si="2"/>
        <v>10220.994014234891</v>
      </c>
      <c r="P17" s="163">
        <f t="shared" si="2"/>
        <v>9116.862648209566</v>
      </c>
      <c r="Q17" s="163">
        <f t="shared" si="2"/>
        <v>7911.1511965099116</v>
      </c>
      <c r="R17" s="163">
        <f t="shared" si="2"/>
        <v>6594.5142912538895</v>
      </c>
      <c r="S17" s="163">
        <f t="shared" si="2"/>
        <v>5156.7467907143136</v>
      </c>
      <c r="T17" s="163">
        <f t="shared" si="2"/>
        <v>3586.7046801250967</v>
      </c>
      <c r="U17" s="163">
        <f t="shared" si="2"/>
        <v>1872.2186953616713</v>
      </c>
      <c r="V17" s="155"/>
      <c r="W17" s="155">
        <f>SUM(B17:U17)</f>
        <v>244448.43811629014</v>
      </c>
    </row>
    <row r="18" spans="1:31">
      <c r="A18" s="148" t="s">
        <v>22</v>
      </c>
      <c r="B18" s="163">
        <f t="shared" ref="B18:U18" si="3">B16-B17</f>
        <v>3822.4219058145027</v>
      </c>
      <c r="C18" s="163">
        <f t="shared" si="3"/>
        <v>4174.0847211494365</v>
      </c>
      <c r="D18" s="163">
        <f t="shared" si="3"/>
        <v>4558.1005154951854</v>
      </c>
      <c r="E18" s="163">
        <f t="shared" si="3"/>
        <v>4977.4457629207427</v>
      </c>
      <c r="F18" s="163">
        <f t="shared" si="3"/>
        <v>5435.370773109451</v>
      </c>
      <c r="G18" s="163">
        <f t="shared" si="3"/>
        <v>5935.4248842355228</v>
      </c>
      <c r="H18" s="163">
        <f t="shared" si="3"/>
        <v>6481.4839735851892</v>
      </c>
      <c r="I18" s="163">
        <f t="shared" si="3"/>
        <v>7077.7804991550274</v>
      </c>
      <c r="J18" s="163">
        <f t="shared" si="3"/>
        <v>7728.9363050772899</v>
      </c>
      <c r="K18" s="163">
        <f t="shared" si="3"/>
        <v>8439.9984451443997</v>
      </c>
      <c r="L18" s="163">
        <f t="shared" si="3"/>
        <v>9216.4783020976829</v>
      </c>
      <c r="M18" s="163">
        <f t="shared" si="3"/>
        <v>10064.394305890668</v>
      </c>
      <c r="N18" s="163">
        <f t="shared" si="3"/>
        <v>10990.318582032611</v>
      </c>
      <c r="O18" s="163">
        <f t="shared" si="3"/>
        <v>12001.427891579611</v>
      </c>
      <c r="P18" s="163">
        <f t="shared" si="3"/>
        <v>13105.559257604937</v>
      </c>
      <c r="Q18" s="163">
        <f t="shared" si="3"/>
        <v>14311.27070930459</v>
      </c>
      <c r="R18" s="163">
        <f t="shared" si="3"/>
        <v>15627.907614560612</v>
      </c>
      <c r="S18" s="163">
        <f t="shared" si="3"/>
        <v>17065.675115100188</v>
      </c>
      <c r="T18" s="163">
        <f t="shared" si="3"/>
        <v>18635.717225689405</v>
      </c>
      <c r="U18" s="163">
        <f t="shared" si="3"/>
        <v>20350.20321045283</v>
      </c>
      <c r="V18" s="155"/>
      <c r="W18" s="155">
        <f>SUM(B18:U18)</f>
        <v>199999.99999999994</v>
      </c>
      <c r="X18" s="10"/>
      <c r="Y18" s="10"/>
      <c r="Z18" s="10"/>
      <c r="AA18" s="10"/>
      <c r="AB18" s="10"/>
      <c r="AC18" s="10"/>
      <c r="AD18" s="10"/>
      <c r="AE18" s="10"/>
    </row>
    <row r="19" spans="1:31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1" spans="1:31">
      <c r="A21" s="151" t="s">
        <v>23</v>
      </c>
      <c r="B21" s="148"/>
    </row>
    <row r="22" spans="1:31">
      <c r="A22" s="152" t="s">
        <v>14</v>
      </c>
      <c r="B22" s="153">
        <f>D22*10000</f>
        <v>200000</v>
      </c>
      <c r="D22" s="26">
        <v>20</v>
      </c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>
      <c r="A23" s="152" t="s">
        <v>5</v>
      </c>
      <c r="B23" s="154">
        <f>D23*0.0001</f>
        <v>8.900000000000001E-2</v>
      </c>
      <c r="D23" s="26">
        <v>890</v>
      </c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>
      <c r="A24" s="152" t="s">
        <v>15</v>
      </c>
      <c r="B24" s="153">
        <v>15</v>
      </c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>
      <c r="A25" s="73"/>
    </row>
    <row r="26" spans="1:31">
      <c r="A26" s="73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>
      <c r="A27" s="150" t="s">
        <v>16</v>
      </c>
      <c r="B27" s="149">
        <f>PMT(B23,B24,-B22,0,0)</f>
        <v>24665.490268402507</v>
      </c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9" spans="1:31">
      <c r="A29" s="21"/>
    </row>
    <row r="30" spans="1:31">
      <c r="A30" s="148" t="s">
        <v>17</v>
      </c>
      <c r="B30" s="148">
        <v>1</v>
      </c>
      <c r="C30" s="148">
        <v>2</v>
      </c>
      <c r="D30" s="148">
        <v>3</v>
      </c>
      <c r="E30" s="148">
        <v>4</v>
      </c>
      <c r="F30" s="148">
        <v>5</v>
      </c>
      <c r="G30" s="148">
        <v>6</v>
      </c>
      <c r="H30" s="148">
        <v>7</v>
      </c>
      <c r="I30" s="148">
        <v>8</v>
      </c>
      <c r="J30" s="148">
        <v>9</v>
      </c>
      <c r="K30" s="148">
        <v>10</v>
      </c>
      <c r="L30" s="148">
        <v>11</v>
      </c>
      <c r="M30" s="148">
        <v>12</v>
      </c>
      <c r="N30" s="148">
        <v>13</v>
      </c>
      <c r="O30" s="148">
        <v>14</v>
      </c>
      <c r="P30" s="148">
        <v>15</v>
      </c>
      <c r="Q30" s="148"/>
      <c r="R30" s="148" t="s">
        <v>24</v>
      </c>
    </row>
    <row r="31" spans="1:31">
      <c r="A31" s="148" t="s">
        <v>19</v>
      </c>
      <c r="B31" s="149">
        <f>$B$6</f>
        <v>200000</v>
      </c>
      <c r="C31" s="149">
        <f t="shared" ref="C31:P31" si="4">B31-B34</f>
        <v>193134.5097315975</v>
      </c>
      <c r="D31" s="149">
        <f t="shared" si="4"/>
        <v>185657.99082930718</v>
      </c>
      <c r="E31" s="149">
        <f t="shared" si="4"/>
        <v>177516.06174471302</v>
      </c>
      <c r="F31" s="149">
        <f t="shared" si="4"/>
        <v>168649.50097158997</v>
      </c>
      <c r="G31" s="149">
        <f t="shared" si="4"/>
        <v>158993.81628965898</v>
      </c>
      <c r="H31" s="149">
        <f t="shared" si="4"/>
        <v>148478.77567103613</v>
      </c>
      <c r="I31" s="149">
        <f t="shared" si="4"/>
        <v>137027.89643735584</v>
      </c>
      <c r="J31" s="149">
        <f t="shared" si="4"/>
        <v>124557.88895187801</v>
      </c>
      <c r="K31" s="149">
        <f t="shared" si="4"/>
        <v>110978.05080019264</v>
      </c>
      <c r="L31" s="149">
        <f t="shared" si="4"/>
        <v>96189.607053007276</v>
      </c>
      <c r="M31" s="149">
        <f t="shared" si="4"/>
        <v>80084.99181232242</v>
      </c>
      <c r="N31" s="149">
        <f t="shared" si="4"/>
        <v>62547.065815216607</v>
      </c>
      <c r="O31" s="149">
        <f t="shared" si="4"/>
        <v>43448.264404368383</v>
      </c>
      <c r="P31" s="149">
        <f t="shared" si="4"/>
        <v>22649.669667954662</v>
      </c>
      <c r="Q31" s="149"/>
      <c r="R31" s="149"/>
      <c r="S31" s="10"/>
      <c r="T31" s="10"/>
      <c r="U31" s="10"/>
    </row>
    <row r="32" spans="1:31">
      <c r="A32" s="148" t="s">
        <v>20</v>
      </c>
      <c r="B32" s="149">
        <f t="shared" ref="B32:P32" si="5">PMT($B$23,$B$24,-$B$22,0,0)</f>
        <v>24665.490268402507</v>
      </c>
      <c r="C32" s="149">
        <f t="shared" si="5"/>
        <v>24665.490268402507</v>
      </c>
      <c r="D32" s="149">
        <f t="shared" si="5"/>
        <v>24665.490268402507</v>
      </c>
      <c r="E32" s="149">
        <f t="shared" si="5"/>
        <v>24665.490268402507</v>
      </c>
      <c r="F32" s="149">
        <f t="shared" si="5"/>
        <v>24665.490268402507</v>
      </c>
      <c r="G32" s="149">
        <f t="shared" si="5"/>
        <v>24665.490268402507</v>
      </c>
      <c r="H32" s="149">
        <f t="shared" si="5"/>
        <v>24665.490268402507</v>
      </c>
      <c r="I32" s="149">
        <f t="shared" si="5"/>
        <v>24665.490268402507</v>
      </c>
      <c r="J32" s="149">
        <f t="shared" si="5"/>
        <v>24665.490268402507</v>
      </c>
      <c r="K32" s="149">
        <f t="shared" si="5"/>
        <v>24665.490268402507</v>
      </c>
      <c r="L32" s="149">
        <f t="shared" si="5"/>
        <v>24665.490268402507</v>
      </c>
      <c r="M32" s="149">
        <f t="shared" si="5"/>
        <v>24665.490268402507</v>
      </c>
      <c r="N32" s="149">
        <f t="shared" si="5"/>
        <v>24665.490268402507</v>
      </c>
      <c r="O32" s="149">
        <f t="shared" si="5"/>
        <v>24665.490268402507</v>
      </c>
      <c r="P32" s="149">
        <f t="shared" si="5"/>
        <v>24665.490268402507</v>
      </c>
      <c r="Q32" s="149"/>
      <c r="R32" s="149">
        <f>SUM(B32:P32)</f>
        <v>369982.35402603756</v>
      </c>
      <c r="S32" s="10"/>
      <c r="T32" s="10"/>
      <c r="U32" s="10"/>
    </row>
    <row r="33" spans="1:21">
      <c r="A33" s="148" t="s">
        <v>21</v>
      </c>
      <c r="B33" s="164">
        <f>$B$23*B31</f>
        <v>17800.000000000004</v>
      </c>
      <c r="C33" s="164">
        <f t="shared" ref="B33:P33" si="6">$B$23*C31</f>
        <v>17188.971366112179</v>
      </c>
      <c r="D33" s="164">
        <f t="shared" si="6"/>
        <v>16523.561183808342</v>
      </c>
      <c r="E33" s="164">
        <f t="shared" si="6"/>
        <v>15798.929495279461</v>
      </c>
      <c r="F33" s="164">
        <f t="shared" si="6"/>
        <v>15009.805586471508</v>
      </c>
      <c r="G33" s="164">
        <f t="shared" si="6"/>
        <v>14150.44964977965</v>
      </c>
      <c r="H33" s="164">
        <f t="shared" si="6"/>
        <v>13214.611034722217</v>
      </c>
      <c r="I33" s="164">
        <f t="shared" si="6"/>
        <v>12195.482782924671</v>
      </c>
      <c r="J33" s="164">
        <f t="shared" si="6"/>
        <v>11085.652116717143</v>
      </c>
      <c r="K33" s="164">
        <f t="shared" si="6"/>
        <v>9877.0465212171457</v>
      </c>
      <c r="L33" s="164">
        <f t="shared" si="6"/>
        <v>8560.8750277176478</v>
      </c>
      <c r="M33" s="164">
        <f t="shared" si="6"/>
        <v>7127.5642712966965</v>
      </c>
      <c r="N33" s="164">
        <f t="shared" si="6"/>
        <v>5566.6888575542789</v>
      </c>
      <c r="O33" s="164">
        <f t="shared" si="6"/>
        <v>3866.8955319887864</v>
      </c>
      <c r="P33" s="164">
        <f t="shared" si="6"/>
        <v>2015.8206004479653</v>
      </c>
      <c r="Q33" s="149"/>
      <c r="R33" s="149">
        <f>SUM(B33:P33)</f>
        <v>169982.3540260377</v>
      </c>
    </row>
    <row r="34" spans="1:21">
      <c r="A34" s="148" t="s">
        <v>22</v>
      </c>
      <c r="B34" s="164">
        <f t="shared" ref="B34:P34" si="7">B32-B33</f>
        <v>6865.4902684025037</v>
      </c>
      <c r="C34" s="164">
        <f t="shared" si="7"/>
        <v>7476.5189022903287</v>
      </c>
      <c r="D34" s="164">
        <f t="shared" si="7"/>
        <v>8141.929084594165</v>
      </c>
      <c r="E34" s="164">
        <f t="shared" si="7"/>
        <v>8866.5607731230466</v>
      </c>
      <c r="F34" s="164">
        <f t="shared" si="7"/>
        <v>9655.6846819309994</v>
      </c>
      <c r="G34" s="164">
        <f t="shared" si="7"/>
        <v>10515.040618622857</v>
      </c>
      <c r="H34" s="164">
        <f t="shared" si="7"/>
        <v>11450.879233680291</v>
      </c>
      <c r="I34" s="164">
        <f t="shared" si="7"/>
        <v>12470.007485477836</v>
      </c>
      <c r="J34" s="164">
        <f t="shared" si="7"/>
        <v>13579.838151685364</v>
      </c>
      <c r="K34" s="164">
        <f t="shared" si="7"/>
        <v>14788.443747185362</v>
      </c>
      <c r="L34" s="164">
        <f t="shared" si="7"/>
        <v>16104.61524068486</v>
      </c>
      <c r="M34" s="164">
        <f t="shared" si="7"/>
        <v>17537.925997105813</v>
      </c>
      <c r="N34" s="164">
        <f t="shared" si="7"/>
        <v>19098.801410848228</v>
      </c>
      <c r="O34" s="164">
        <f t="shared" si="7"/>
        <v>20798.594736413721</v>
      </c>
      <c r="P34" s="164">
        <f t="shared" si="7"/>
        <v>22649.669667954542</v>
      </c>
      <c r="Q34" s="149"/>
      <c r="R34" s="149">
        <f>SUM(B34:P34)</f>
        <v>199999.99999999988</v>
      </c>
      <c r="S34" s="10"/>
      <c r="T34" s="10"/>
      <c r="U34" s="10"/>
    </row>
    <row r="35" spans="1:21">
      <c r="B35" s="10"/>
    </row>
    <row r="36" spans="1:21">
      <c r="A36" s="6"/>
    </row>
    <row r="37" spans="1:21">
      <c r="A37" s="6"/>
    </row>
  </sheetData>
  <mergeCells count="1">
    <mergeCell ref="A1:D3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Spinner 1">
              <controlPr defaultSize="0" autoPict="0">
                <anchor moveWithCells="1" sizeWithCells="1">
                  <from>
                    <xdr:col>2</xdr:col>
                    <xdr:colOff>68580</xdr:colOff>
                    <xdr:row>6</xdr:row>
                    <xdr:rowOff>60960</xdr:rowOff>
                  </from>
                  <to>
                    <xdr:col>2</xdr:col>
                    <xdr:colOff>640080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5" name="Spinner 2">
              <controlPr defaultSize="0" autoPict="0">
                <anchor moveWithCells="1" sizeWithCells="1">
                  <from>
                    <xdr:col>2</xdr:col>
                    <xdr:colOff>68580</xdr:colOff>
                    <xdr:row>7</xdr:row>
                    <xdr:rowOff>99060</xdr:rowOff>
                  </from>
                  <to>
                    <xdr:col>2</xdr:col>
                    <xdr:colOff>647700</xdr:colOff>
                    <xdr:row>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6" name="Spinner 3">
              <controlPr defaultSize="0" autoPict="0">
                <anchor moveWithCells="1" sizeWithCells="1">
                  <from>
                    <xdr:col>2</xdr:col>
                    <xdr:colOff>60960</xdr:colOff>
                    <xdr:row>5</xdr:row>
                    <xdr:rowOff>30480</xdr:rowOff>
                  </from>
                  <to>
                    <xdr:col>2</xdr:col>
                    <xdr:colOff>632460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4" r:id="rId7" name="Spinner 4">
              <controlPr defaultSize="0" autoPict="0">
                <anchor moveWithCells="1" sizeWithCells="1">
                  <from>
                    <xdr:col>2</xdr:col>
                    <xdr:colOff>68580</xdr:colOff>
                    <xdr:row>22</xdr:row>
                    <xdr:rowOff>22860</xdr:rowOff>
                  </from>
                  <to>
                    <xdr:col>2</xdr:col>
                    <xdr:colOff>617220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5" r:id="rId8" name="Spinner 5">
              <controlPr defaultSize="0" autoPict="0">
                <anchor moveWithCells="1" sizeWithCells="1">
                  <from>
                    <xdr:col>2</xdr:col>
                    <xdr:colOff>76200</xdr:colOff>
                    <xdr:row>23</xdr:row>
                    <xdr:rowOff>38100</xdr:rowOff>
                  </from>
                  <to>
                    <xdr:col>2</xdr:col>
                    <xdr:colOff>624840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6" r:id="rId9" name="Spinner 6">
              <controlPr defaultSize="0" autoPict="0">
                <anchor moveWithCells="1" sizeWithCells="1">
                  <from>
                    <xdr:col>2</xdr:col>
                    <xdr:colOff>60960</xdr:colOff>
                    <xdr:row>20</xdr:row>
                    <xdr:rowOff>175260</xdr:rowOff>
                  </from>
                  <to>
                    <xdr:col>2</xdr:col>
                    <xdr:colOff>624840</xdr:colOff>
                    <xdr:row>21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1565-0B12-42B3-A101-63BDC7D397A9}">
  <dimension ref="A1:AF46"/>
  <sheetViews>
    <sheetView topLeftCell="A8" zoomScale="116" zoomScaleNormal="85" workbookViewId="0">
      <selection activeCell="B35" sqref="B35"/>
    </sheetView>
  </sheetViews>
  <sheetFormatPr defaultRowHeight="14.4"/>
  <cols>
    <col min="1" max="1" width="22.6640625" style="5" bestFit="1" customWidth="1"/>
    <col min="2" max="2" width="11.33203125" style="5" bestFit="1" customWidth="1"/>
    <col min="3" max="3" width="12.44140625" style="5" bestFit="1" customWidth="1"/>
    <col min="4" max="4" width="11.44140625" style="5" bestFit="1" customWidth="1"/>
    <col min="5" max="11" width="12.44140625" style="5" bestFit="1" customWidth="1"/>
    <col min="12" max="12" width="11.44140625" style="5" bestFit="1" customWidth="1"/>
    <col min="13" max="28" width="12.44140625" style="5" bestFit="1" customWidth="1"/>
    <col min="29" max="29" width="11.44140625" style="5" bestFit="1" customWidth="1"/>
    <col min="30" max="31" width="12.44140625" style="5" bestFit="1" customWidth="1"/>
    <col min="32" max="32" width="4.109375" style="5" bestFit="1" customWidth="1"/>
    <col min="33" max="16384" width="8.88671875" style="5"/>
  </cols>
  <sheetData>
    <row r="1" spans="1:31">
      <c r="A1" s="169" t="s">
        <v>121</v>
      </c>
      <c r="B1" s="169"/>
      <c r="C1" s="169"/>
      <c r="D1" s="169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</row>
    <row r="2" spans="1:31">
      <c r="A2" s="169"/>
      <c r="B2" s="169"/>
      <c r="C2" s="169"/>
      <c r="D2" s="169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</row>
    <row r="3" spans="1:31">
      <c r="A3" s="169"/>
      <c r="B3" s="169"/>
      <c r="C3" s="169"/>
      <c r="D3" s="169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</row>
    <row r="4" spans="1:31">
      <c r="A4" s="171" t="s">
        <v>14</v>
      </c>
      <c r="B4" s="172">
        <v>500000</v>
      </c>
      <c r="C4" s="170"/>
      <c r="D4" s="173">
        <v>50</v>
      </c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</row>
    <row r="5" spans="1:31">
      <c r="A5" s="171" t="s">
        <v>25</v>
      </c>
      <c r="B5" s="172">
        <v>9.5000000000000001E-2</v>
      </c>
      <c r="C5" s="170"/>
      <c r="D5" s="173">
        <v>960</v>
      </c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</row>
    <row r="6" spans="1:31">
      <c r="A6" s="171" t="s">
        <v>26</v>
      </c>
      <c r="B6" s="172">
        <v>8.2000000000000003E-2</v>
      </c>
      <c r="C6" s="170"/>
      <c r="D6" s="173">
        <v>820</v>
      </c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</row>
    <row r="7" spans="1:31">
      <c r="A7" s="171" t="s">
        <v>15</v>
      </c>
      <c r="B7" s="172">
        <v>30</v>
      </c>
      <c r="C7" s="170"/>
      <c r="D7" s="173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</row>
    <row r="8" spans="1:31">
      <c r="A8" s="170"/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</row>
    <row r="9" spans="1:31">
      <c r="A9" s="170"/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</row>
    <row r="10" spans="1:31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</row>
    <row r="11" spans="1:31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</row>
    <row r="12" spans="1:31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</row>
    <row r="13" spans="1:31">
      <c r="A13" s="174" t="s">
        <v>27</v>
      </c>
      <c r="B13" s="175">
        <f>-PMT(B5,B7,B4,0)</f>
        <v>50840.292226820391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</row>
    <row r="14" spans="1:31">
      <c r="A14" s="174" t="s">
        <v>28</v>
      </c>
      <c r="B14" s="175">
        <f>B21</f>
        <v>45254.450474979669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</row>
    <row r="15" spans="1:31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</row>
    <row r="16" spans="1:31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</row>
    <row r="17" spans="1:32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</row>
    <row r="18" spans="1:32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</row>
    <row r="19" spans="1:32">
      <c r="A19" s="174" t="s">
        <v>17</v>
      </c>
      <c r="B19" s="174">
        <v>1</v>
      </c>
      <c r="C19" s="174">
        <v>2</v>
      </c>
      <c r="D19" s="174">
        <v>3</v>
      </c>
      <c r="E19" s="174">
        <v>4</v>
      </c>
      <c r="F19" s="174">
        <v>5</v>
      </c>
      <c r="G19" s="174">
        <v>6</v>
      </c>
      <c r="H19" s="174">
        <v>7</v>
      </c>
      <c r="I19" s="174">
        <v>8</v>
      </c>
      <c r="J19" s="174">
        <v>9</v>
      </c>
      <c r="K19" s="174">
        <v>10</v>
      </c>
      <c r="L19" s="174">
        <v>11</v>
      </c>
      <c r="M19" s="174">
        <v>12</v>
      </c>
      <c r="N19" s="174">
        <v>13</v>
      </c>
      <c r="O19" s="174">
        <v>14</v>
      </c>
      <c r="P19" s="174">
        <v>15</v>
      </c>
      <c r="Q19" s="174">
        <v>16</v>
      </c>
      <c r="R19" s="174">
        <v>17</v>
      </c>
      <c r="S19" s="174">
        <v>18</v>
      </c>
      <c r="T19" s="174">
        <v>19</v>
      </c>
      <c r="U19" s="174">
        <v>20</v>
      </c>
      <c r="V19" s="174">
        <v>21</v>
      </c>
      <c r="W19" s="174">
        <v>22</v>
      </c>
      <c r="X19" s="174">
        <v>23</v>
      </c>
      <c r="Y19" s="174">
        <v>24</v>
      </c>
      <c r="Z19" s="174">
        <v>25</v>
      </c>
      <c r="AA19" s="174">
        <v>26</v>
      </c>
      <c r="AB19" s="174">
        <v>27</v>
      </c>
      <c r="AC19" s="174">
        <v>28</v>
      </c>
      <c r="AD19" s="174">
        <v>29</v>
      </c>
      <c r="AE19" s="174">
        <v>30</v>
      </c>
      <c r="AF19" s="176">
        <v>31</v>
      </c>
    </row>
    <row r="20" spans="1:32">
      <c r="A20" s="174" t="s">
        <v>19</v>
      </c>
      <c r="B20" s="174">
        <v>500000</v>
      </c>
      <c r="C20" s="177">
        <f>B20-B23</f>
        <v>495745.54952502035</v>
      </c>
      <c r="D20" s="177">
        <f t="shared" ref="D20:AF20" si="0">C20-C23</f>
        <v>491142.23411109234</v>
      </c>
      <c r="E20" s="177">
        <f t="shared" si="0"/>
        <v>486161.44683322223</v>
      </c>
      <c r="F20" s="177">
        <f t="shared" si="0"/>
        <v>480772.2349985668</v>
      </c>
      <c r="G20" s="177">
        <f t="shared" si="0"/>
        <v>474941.10779346962</v>
      </c>
      <c r="H20" s="177">
        <f t="shared" si="0"/>
        <v>468631.82815755444</v>
      </c>
      <c r="I20" s="177">
        <f t="shared" si="0"/>
        <v>461805.18759149424</v>
      </c>
      <c r="J20" s="177">
        <f t="shared" si="0"/>
        <v>454418.76249901712</v>
      </c>
      <c r="K20" s="177">
        <f t="shared" si="0"/>
        <v>446426.65054895682</v>
      </c>
      <c r="L20" s="177">
        <f t="shared" si="0"/>
        <v>437779.1854189916</v>
      </c>
      <c r="M20" s="177">
        <f t="shared" si="0"/>
        <v>428422.62814836926</v>
      </c>
      <c r="N20" s="177">
        <f t="shared" si="0"/>
        <v>418298.83318155585</v>
      </c>
      <c r="O20" s="177">
        <f t="shared" si="0"/>
        <v>407344.88702746376</v>
      </c>
      <c r="P20" s="177">
        <f t="shared" si="0"/>
        <v>395492.71728873614</v>
      </c>
      <c r="Q20" s="177">
        <f t="shared" si="0"/>
        <v>382668.66963143286</v>
      </c>
      <c r="R20" s="177">
        <f t="shared" si="0"/>
        <v>368793.0500662307</v>
      </c>
      <c r="S20" s="177">
        <f t="shared" si="0"/>
        <v>353779.62969668198</v>
      </c>
      <c r="T20" s="177">
        <f t="shared" si="0"/>
        <v>337535.10885683022</v>
      </c>
      <c r="U20" s="177">
        <f t="shared" si="0"/>
        <v>319958.53730811062</v>
      </c>
      <c r="V20" s="177">
        <f t="shared" si="0"/>
        <v>300940.68689239601</v>
      </c>
      <c r="W20" s="177">
        <f t="shared" si="0"/>
        <v>280363.37274259282</v>
      </c>
      <c r="X20" s="177">
        <f t="shared" si="0"/>
        <v>258098.71883250575</v>
      </c>
      <c r="Y20" s="177">
        <f t="shared" si="0"/>
        <v>234008.36330179154</v>
      </c>
      <c r="Z20" s="177">
        <f t="shared" si="0"/>
        <v>207942.59861755878</v>
      </c>
      <c r="AA20" s="177">
        <f t="shared" si="0"/>
        <v>179739.44122921894</v>
      </c>
      <c r="AB20" s="177">
        <f t="shared" si="0"/>
        <v>149223.62493503522</v>
      </c>
      <c r="AC20" s="177">
        <f t="shared" si="0"/>
        <v>116205.51170472844</v>
      </c>
      <c r="AD20" s="177">
        <f t="shared" si="0"/>
        <v>80479.913189536514</v>
      </c>
      <c r="AE20" s="177">
        <f t="shared" si="0"/>
        <v>41824.815596098837</v>
      </c>
      <c r="AF20" s="177">
        <f t="shared" si="0"/>
        <v>-7.2759576141834259E-10</v>
      </c>
    </row>
    <row r="21" spans="1:32">
      <c r="A21" s="174" t="s">
        <v>20</v>
      </c>
      <c r="B21" s="177">
        <f>-PMT($B6,$B7,$B4,0)</f>
        <v>45254.450474979669</v>
      </c>
      <c r="C21" s="177">
        <f>-PMT($B6,$B7,$B4,0)</f>
        <v>45254.450474979669</v>
      </c>
      <c r="D21" s="177">
        <f t="shared" ref="D21:AE21" si="1">-PMT($B6,$B7,$B4,0)</f>
        <v>45254.450474979669</v>
      </c>
      <c r="E21" s="177">
        <f t="shared" si="1"/>
        <v>45254.450474979669</v>
      </c>
      <c r="F21" s="177">
        <f t="shared" si="1"/>
        <v>45254.450474979669</v>
      </c>
      <c r="G21" s="177">
        <f t="shared" si="1"/>
        <v>45254.450474979669</v>
      </c>
      <c r="H21" s="177">
        <f t="shared" si="1"/>
        <v>45254.450474979669</v>
      </c>
      <c r="I21" s="177">
        <f t="shared" si="1"/>
        <v>45254.450474979669</v>
      </c>
      <c r="J21" s="177">
        <f t="shared" si="1"/>
        <v>45254.450474979669</v>
      </c>
      <c r="K21" s="177">
        <f t="shared" si="1"/>
        <v>45254.450474979669</v>
      </c>
      <c r="L21" s="177">
        <f t="shared" si="1"/>
        <v>45254.450474979669</v>
      </c>
      <c r="M21" s="177">
        <f t="shared" si="1"/>
        <v>45254.450474979669</v>
      </c>
      <c r="N21" s="177">
        <f t="shared" si="1"/>
        <v>45254.450474979669</v>
      </c>
      <c r="O21" s="177">
        <f t="shared" si="1"/>
        <v>45254.450474979669</v>
      </c>
      <c r="P21" s="177">
        <f t="shared" si="1"/>
        <v>45254.450474979669</v>
      </c>
      <c r="Q21" s="177">
        <f t="shared" si="1"/>
        <v>45254.450474979669</v>
      </c>
      <c r="R21" s="177">
        <f t="shared" si="1"/>
        <v>45254.450474979669</v>
      </c>
      <c r="S21" s="177">
        <f t="shared" si="1"/>
        <v>45254.450474979669</v>
      </c>
      <c r="T21" s="177">
        <f t="shared" si="1"/>
        <v>45254.450474979669</v>
      </c>
      <c r="U21" s="177">
        <f t="shared" si="1"/>
        <v>45254.450474979669</v>
      </c>
      <c r="V21" s="177">
        <f t="shared" si="1"/>
        <v>45254.450474979669</v>
      </c>
      <c r="W21" s="177">
        <f t="shared" si="1"/>
        <v>45254.450474979669</v>
      </c>
      <c r="X21" s="177">
        <f t="shared" si="1"/>
        <v>45254.450474979669</v>
      </c>
      <c r="Y21" s="177">
        <f t="shared" si="1"/>
        <v>45254.450474979669</v>
      </c>
      <c r="Z21" s="177">
        <f t="shared" si="1"/>
        <v>45254.450474979669</v>
      </c>
      <c r="AA21" s="177">
        <f t="shared" si="1"/>
        <v>45254.450474979669</v>
      </c>
      <c r="AB21" s="177">
        <f t="shared" si="1"/>
        <v>45254.450474979669</v>
      </c>
      <c r="AC21" s="177">
        <f t="shared" si="1"/>
        <v>45254.450474979669</v>
      </c>
      <c r="AD21" s="177">
        <f t="shared" si="1"/>
        <v>45254.450474979669</v>
      </c>
      <c r="AE21" s="177">
        <f t="shared" si="1"/>
        <v>45254.450474979669</v>
      </c>
    </row>
    <row r="22" spans="1:32">
      <c r="A22" s="174" t="s">
        <v>21</v>
      </c>
      <c r="B22" s="178">
        <f>B20*$B6</f>
        <v>41000</v>
      </c>
      <c r="C22" s="178">
        <f t="shared" ref="C22:AE22" si="2">C20*$B6</f>
        <v>40651.135061051667</v>
      </c>
      <c r="D22" s="178">
        <f t="shared" si="2"/>
        <v>40273.66319710957</v>
      </c>
      <c r="E22" s="178">
        <f t="shared" si="2"/>
        <v>39865.238640324227</v>
      </c>
      <c r="F22" s="178">
        <f t="shared" si="2"/>
        <v>39423.32326988248</v>
      </c>
      <c r="G22" s="178">
        <f t="shared" si="2"/>
        <v>38945.170839064507</v>
      </c>
      <c r="H22" s="178">
        <f t="shared" si="2"/>
        <v>38427.809908919466</v>
      </c>
      <c r="I22" s="178">
        <f t="shared" si="2"/>
        <v>37868.025382502528</v>
      </c>
      <c r="J22" s="178">
        <f t="shared" si="2"/>
        <v>37262.338524919403</v>
      </c>
      <c r="K22" s="178">
        <f t="shared" si="2"/>
        <v>36606.985345014458</v>
      </c>
      <c r="L22" s="178">
        <f t="shared" si="2"/>
        <v>35897.893204357315</v>
      </c>
      <c r="M22" s="178">
        <f t="shared" si="2"/>
        <v>35130.655508166281</v>
      </c>
      <c r="N22" s="178">
        <f t="shared" si="2"/>
        <v>34300.50432088758</v>
      </c>
      <c r="O22" s="178">
        <f t="shared" si="2"/>
        <v>33402.280736252033</v>
      </c>
      <c r="P22" s="178">
        <f t="shared" si="2"/>
        <v>32430.402817676364</v>
      </c>
      <c r="Q22" s="178">
        <f t="shared" si="2"/>
        <v>31378.830909777495</v>
      </c>
      <c r="R22" s="178">
        <f t="shared" si="2"/>
        <v>30241.03010543092</v>
      </c>
      <c r="S22" s="178">
        <f t="shared" si="2"/>
        <v>29009.929635127923</v>
      </c>
      <c r="T22" s="178">
        <f t="shared" si="2"/>
        <v>27677.87892626008</v>
      </c>
      <c r="U22" s="178">
        <f t="shared" si="2"/>
        <v>26236.600059265071</v>
      </c>
      <c r="V22" s="178">
        <f t="shared" si="2"/>
        <v>24677.136325176474</v>
      </c>
      <c r="W22" s="178">
        <f t="shared" si="2"/>
        <v>22989.796564892611</v>
      </c>
      <c r="X22" s="178">
        <f t="shared" si="2"/>
        <v>21164.094944265471</v>
      </c>
      <c r="Y22" s="178">
        <f t="shared" si="2"/>
        <v>19188.685790746906</v>
      </c>
      <c r="Z22" s="178">
        <f t="shared" si="2"/>
        <v>17051.29308663982</v>
      </c>
      <c r="AA22" s="178">
        <f t="shared" si="2"/>
        <v>14738.634180795954</v>
      </c>
      <c r="AB22" s="178">
        <f t="shared" si="2"/>
        <v>12236.337244672888</v>
      </c>
      <c r="AC22" s="178">
        <f t="shared" si="2"/>
        <v>9528.851959787733</v>
      </c>
      <c r="AD22" s="178">
        <f t="shared" si="2"/>
        <v>6599.3528815419941</v>
      </c>
      <c r="AE22" s="178">
        <f t="shared" si="2"/>
        <v>3429.6348788801047</v>
      </c>
    </row>
    <row r="23" spans="1:32">
      <c r="A23" s="174" t="s">
        <v>22</v>
      </c>
      <c r="B23" s="179">
        <f>B21-B22</f>
        <v>4254.4504749796688</v>
      </c>
      <c r="C23" s="179">
        <f t="shared" ref="C23:AE23" si="3">C21-C22</f>
        <v>4603.3154139280014</v>
      </c>
      <c r="D23" s="179">
        <f t="shared" si="3"/>
        <v>4980.7872778700985</v>
      </c>
      <c r="E23" s="179">
        <f t="shared" si="3"/>
        <v>5389.2118346554416</v>
      </c>
      <c r="F23" s="179">
        <f t="shared" si="3"/>
        <v>5831.1272050971893</v>
      </c>
      <c r="G23" s="179">
        <f t="shared" si="3"/>
        <v>6309.2796359151616</v>
      </c>
      <c r="H23" s="179">
        <f t="shared" si="3"/>
        <v>6826.6405660602031</v>
      </c>
      <c r="I23" s="179">
        <f t="shared" si="3"/>
        <v>7386.4250924771404</v>
      </c>
      <c r="J23" s="179">
        <f t="shared" si="3"/>
        <v>7992.1119500602654</v>
      </c>
      <c r="K23" s="179">
        <f t="shared" si="3"/>
        <v>8647.4651299652105</v>
      </c>
      <c r="L23" s="179">
        <f t="shared" si="3"/>
        <v>9356.5572706223538</v>
      </c>
      <c r="M23" s="179">
        <f t="shared" si="3"/>
        <v>10123.794966813388</v>
      </c>
      <c r="N23" s="179">
        <f t="shared" si="3"/>
        <v>10953.946154092089</v>
      </c>
      <c r="O23" s="179">
        <f t="shared" si="3"/>
        <v>11852.169738727636</v>
      </c>
      <c r="P23" s="179">
        <f t="shared" si="3"/>
        <v>12824.047657303305</v>
      </c>
      <c r="Q23" s="179">
        <f t="shared" si="3"/>
        <v>13875.619565202174</v>
      </c>
      <c r="R23" s="179">
        <f t="shared" si="3"/>
        <v>15013.420369548749</v>
      </c>
      <c r="S23" s="179">
        <f t="shared" si="3"/>
        <v>16244.520839851746</v>
      </c>
      <c r="T23" s="179">
        <f t="shared" si="3"/>
        <v>17576.571548719588</v>
      </c>
      <c r="U23" s="179">
        <f t="shared" si="3"/>
        <v>19017.850415714598</v>
      </c>
      <c r="V23" s="179">
        <f t="shared" si="3"/>
        <v>20577.314149803195</v>
      </c>
      <c r="W23" s="179">
        <f t="shared" si="3"/>
        <v>22264.653910087058</v>
      </c>
      <c r="X23" s="179">
        <f t="shared" si="3"/>
        <v>24090.355530714198</v>
      </c>
      <c r="Y23" s="179">
        <f t="shared" si="3"/>
        <v>26065.764684232763</v>
      </c>
      <c r="Z23" s="179">
        <f t="shared" si="3"/>
        <v>28203.157388339849</v>
      </c>
      <c r="AA23" s="179">
        <f t="shared" si="3"/>
        <v>30515.816294183714</v>
      </c>
      <c r="AB23" s="179">
        <f t="shared" si="3"/>
        <v>33018.113230306779</v>
      </c>
      <c r="AC23" s="179">
        <f t="shared" si="3"/>
        <v>35725.598515191938</v>
      </c>
      <c r="AD23" s="179">
        <f t="shared" si="3"/>
        <v>38655.097593437677</v>
      </c>
      <c r="AE23" s="179">
        <f t="shared" si="3"/>
        <v>41824.815596099565</v>
      </c>
    </row>
    <row r="24" spans="1:32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</row>
    <row r="25" spans="1:32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</row>
    <row r="26" spans="1:32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</row>
    <row r="27" spans="1:32">
      <c r="A27" s="174" t="s">
        <v>17</v>
      </c>
      <c r="B27" s="174">
        <v>1</v>
      </c>
      <c r="C27" s="174">
        <v>2</v>
      </c>
      <c r="D27" s="174">
        <v>3</v>
      </c>
      <c r="E27" s="174">
        <v>4</v>
      </c>
      <c r="F27" s="174">
        <v>5</v>
      </c>
      <c r="G27" s="174">
        <v>6</v>
      </c>
      <c r="H27" s="174">
        <v>7</v>
      </c>
      <c r="I27" s="174">
        <v>8</v>
      </c>
      <c r="J27" s="174">
        <v>9</v>
      </c>
      <c r="K27" s="174">
        <v>10</v>
      </c>
      <c r="L27" s="174">
        <v>11</v>
      </c>
      <c r="M27" s="174">
        <v>12</v>
      </c>
      <c r="N27" s="174">
        <v>13</v>
      </c>
      <c r="O27" s="174">
        <v>14</v>
      </c>
      <c r="P27" s="174">
        <v>15</v>
      </c>
      <c r="Q27" s="174">
        <v>16</v>
      </c>
      <c r="R27" s="174">
        <v>17</v>
      </c>
      <c r="S27" s="174">
        <v>18</v>
      </c>
      <c r="T27" s="174">
        <v>19</v>
      </c>
      <c r="U27" s="174">
        <v>20</v>
      </c>
      <c r="V27" s="174">
        <v>21</v>
      </c>
      <c r="W27" s="174">
        <v>22</v>
      </c>
      <c r="X27" s="174">
        <v>23</v>
      </c>
      <c r="Y27" s="174">
        <v>24</v>
      </c>
      <c r="Z27" s="174">
        <v>25</v>
      </c>
      <c r="AA27" s="174">
        <v>26</v>
      </c>
      <c r="AB27" s="174">
        <v>27</v>
      </c>
      <c r="AC27" s="174">
        <v>28</v>
      </c>
      <c r="AD27" s="174">
        <v>29</v>
      </c>
      <c r="AE27" s="174">
        <v>30</v>
      </c>
    </row>
    <row r="28" spans="1:32">
      <c r="A28" s="174" t="s">
        <v>29</v>
      </c>
      <c r="B28" s="177">
        <f>B22</f>
        <v>41000</v>
      </c>
      <c r="C28" s="177">
        <f t="shared" ref="C28:AE28" si="4">C22</f>
        <v>40651.135061051667</v>
      </c>
      <c r="D28" s="177">
        <f t="shared" si="4"/>
        <v>40273.66319710957</v>
      </c>
      <c r="E28" s="177">
        <f t="shared" si="4"/>
        <v>39865.238640324227</v>
      </c>
      <c r="F28" s="177">
        <f t="shared" si="4"/>
        <v>39423.32326988248</v>
      </c>
      <c r="G28" s="177">
        <f t="shared" si="4"/>
        <v>38945.170839064507</v>
      </c>
      <c r="H28" s="177">
        <f t="shared" si="4"/>
        <v>38427.809908919466</v>
      </c>
      <c r="I28" s="177">
        <f t="shared" si="4"/>
        <v>37868.025382502528</v>
      </c>
      <c r="J28" s="177">
        <f t="shared" si="4"/>
        <v>37262.338524919403</v>
      </c>
      <c r="K28" s="177">
        <f t="shared" si="4"/>
        <v>36606.985345014458</v>
      </c>
      <c r="L28" s="177">
        <f t="shared" si="4"/>
        <v>35897.893204357315</v>
      </c>
      <c r="M28" s="177">
        <f t="shared" si="4"/>
        <v>35130.655508166281</v>
      </c>
      <c r="N28" s="177">
        <f t="shared" si="4"/>
        <v>34300.50432088758</v>
      </c>
      <c r="O28" s="177">
        <f t="shared" si="4"/>
        <v>33402.280736252033</v>
      </c>
      <c r="P28" s="177">
        <f t="shared" si="4"/>
        <v>32430.402817676364</v>
      </c>
      <c r="Q28" s="177">
        <f t="shared" si="4"/>
        <v>31378.830909777495</v>
      </c>
      <c r="R28" s="177">
        <f t="shared" si="4"/>
        <v>30241.03010543092</v>
      </c>
      <c r="S28" s="177">
        <f t="shared" si="4"/>
        <v>29009.929635127923</v>
      </c>
      <c r="T28" s="177">
        <f t="shared" si="4"/>
        <v>27677.87892626008</v>
      </c>
      <c r="U28" s="177">
        <f t="shared" si="4"/>
        <v>26236.600059265071</v>
      </c>
      <c r="V28" s="177">
        <f t="shared" si="4"/>
        <v>24677.136325176474</v>
      </c>
      <c r="W28" s="177">
        <f t="shared" si="4"/>
        <v>22989.796564892611</v>
      </c>
      <c r="X28" s="177">
        <f t="shared" si="4"/>
        <v>21164.094944265471</v>
      </c>
      <c r="Y28" s="177">
        <f t="shared" si="4"/>
        <v>19188.685790746906</v>
      </c>
      <c r="Z28" s="177">
        <f t="shared" si="4"/>
        <v>17051.29308663982</v>
      </c>
      <c r="AA28" s="177">
        <f t="shared" si="4"/>
        <v>14738.634180795954</v>
      </c>
      <c r="AB28" s="177">
        <f t="shared" si="4"/>
        <v>12236.337244672888</v>
      </c>
      <c r="AC28" s="177">
        <f t="shared" si="4"/>
        <v>9528.851959787733</v>
      </c>
      <c r="AD28" s="177">
        <f t="shared" si="4"/>
        <v>6599.3528815419941</v>
      </c>
      <c r="AE28" s="177">
        <f t="shared" si="4"/>
        <v>3429.6348788801047</v>
      </c>
    </row>
    <row r="29" spans="1:32">
      <c r="A29" s="180">
        <v>8.2000000000000003E-2</v>
      </c>
      <c r="B29" s="179">
        <f t="dataTable" ref="B29:AE30" dt2D="0" dtr="0" r1="B6"/>
        <v>41000</v>
      </c>
      <c r="C29" s="179">
        <v>40651.135061051667</v>
      </c>
      <c r="D29" s="179">
        <v>40273.66319710957</v>
      </c>
      <c r="E29" s="179">
        <v>39865.238640324227</v>
      </c>
      <c r="F29" s="179">
        <v>39423.32326988248</v>
      </c>
      <c r="G29" s="179">
        <v>38945.170839064507</v>
      </c>
      <c r="H29" s="179">
        <v>38427.809908919466</v>
      </c>
      <c r="I29" s="179">
        <v>37868.025382502528</v>
      </c>
      <c r="J29" s="179">
        <v>37262.338524919403</v>
      </c>
      <c r="K29" s="179">
        <v>36606.985345014458</v>
      </c>
      <c r="L29" s="179">
        <v>35897.893204357315</v>
      </c>
      <c r="M29" s="179">
        <v>35130.655508166281</v>
      </c>
      <c r="N29" s="179">
        <v>34300.50432088758</v>
      </c>
      <c r="O29" s="179">
        <v>33402.280736252033</v>
      </c>
      <c r="P29" s="179">
        <v>32430.402817676364</v>
      </c>
      <c r="Q29" s="179">
        <v>31378.830909777495</v>
      </c>
      <c r="R29" s="179">
        <v>30241.03010543092</v>
      </c>
      <c r="S29" s="179">
        <v>29009.929635127923</v>
      </c>
      <c r="T29" s="179">
        <v>27677.87892626008</v>
      </c>
      <c r="U29" s="179">
        <v>26236.600059265071</v>
      </c>
      <c r="V29" s="179">
        <v>24677.136325176474</v>
      </c>
      <c r="W29" s="179">
        <v>22989.796564892611</v>
      </c>
      <c r="X29" s="179">
        <v>21164.094944265471</v>
      </c>
      <c r="Y29" s="179">
        <v>19188.685790746906</v>
      </c>
      <c r="Z29" s="179">
        <v>17051.29308663982</v>
      </c>
      <c r="AA29" s="179">
        <v>14738.634180795954</v>
      </c>
      <c r="AB29" s="179">
        <v>12236.337244672888</v>
      </c>
      <c r="AC29" s="179">
        <v>9528.851959787733</v>
      </c>
      <c r="AD29" s="179">
        <v>6599.3528815419941</v>
      </c>
      <c r="AE29" s="179">
        <v>3429.6348788801047</v>
      </c>
    </row>
    <row r="30" spans="1:32">
      <c r="A30" s="180">
        <v>9.5000000000000001E-2</v>
      </c>
      <c r="B30" s="179">
        <v>47500</v>
      </c>
      <c r="C30" s="179">
        <v>47182.672238452069</v>
      </c>
      <c r="D30" s="179">
        <v>46835.198339557079</v>
      </c>
      <c r="E30" s="179">
        <v>46454.714420267061</v>
      </c>
      <c r="F30" s="179">
        <v>46038.084528644496</v>
      </c>
      <c r="G30" s="179">
        <v>45581.874797317781</v>
      </c>
      <c r="H30" s="179">
        <v>45082.325141515037</v>
      </c>
      <c r="I30" s="179">
        <v>44535.318268411029</v>
      </c>
      <c r="J30" s="179">
        <v>43936.345742362137</v>
      </c>
      <c r="K30" s="179">
        <v>43280.470826338606</v>
      </c>
      <c r="L30" s="179">
        <v>42562.287793292831</v>
      </c>
      <c r="M30" s="179">
        <v>41775.877372107716</v>
      </c>
      <c r="N30" s="179">
        <v>40914.757960910014</v>
      </c>
      <c r="O30" s="179">
        <v>39971.832205648527</v>
      </c>
      <c r="P30" s="179">
        <v>38939.328503637204</v>
      </c>
      <c r="Q30" s="179">
        <v>37808.736949934799</v>
      </c>
      <c r="R30" s="179">
        <v>36570.739198630668</v>
      </c>
      <c r="S30" s="179">
        <v>35215.131660952648</v>
      </c>
      <c r="T30" s="179">
        <v>33730.741407195215</v>
      </c>
      <c r="U30" s="179">
        <v>32105.334079330816</v>
      </c>
      <c r="V30" s="179">
        <v>30325.513055319308</v>
      </c>
      <c r="W30" s="179">
        <v>28376.609034026707</v>
      </c>
      <c r="X30" s="179">
        <v>26242.559130711306</v>
      </c>
      <c r="Y30" s="179">
        <v>23905.774486580944</v>
      </c>
      <c r="Z30" s="179">
        <v>21346.995301258197</v>
      </c>
      <c r="AA30" s="179">
        <v>18545.132093329787</v>
      </c>
      <c r="AB30" s="179">
        <v>15477.091880648179</v>
      </c>
      <c r="AC30" s="179">
        <v>12117.587847761821</v>
      </c>
      <c r="AD30" s="179">
        <v>8438.9309317512561</v>
      </c>
      <c r="AE30" s="179">
        <v>4410.8016087196875</v>
      </c>
    </row>
    <row r="31" spans="1:32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</row>
    <row r="32" spans="1:3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</row>
    <row r="33" spans="1:31">
      <c r="A33" s="174" t="s">
        <v>17</v>
      </c>
      <c r="B33" s="174">
        <v>1</v>
      </c>
      <c r="C33" s="174">
        <v>2</v>
      </c>
      <c r="D33" s="174">
        <v>3</v>
      </c>
      <c r="E33" s="174">
        <v>4</v>
      </c>
      <c r="F33" s="174">
        <v>5</v>
      </c>
      <c r="G33" s="174">
        <v>6</v>
      </c>
      <c r="H33" s="174">
        <v>7</v>
      </c>
      <c r="I33" s="174">
        <v>8</v>
      </c>
      <c r="J33" s="174">
        <v>9</v>
      </c>
      <c r="K33" s="174">
        <v>10</v>
      </c>
      <c r="L33" s="174">
        <v>11</v>
      </c>
      <c r="M33" s="174">
        <v>12</v>
      </c>
      <c r="N33" s="174">
        <v>13</v>
      </c>
      <c r="O33" s="174">
        <v>14</v>
      </c>
      <c r="P33" s="174">
        <v>15</v>
      </c>
      <c r="Q33" s="174">
        <v>16</v>
      </c>
      <c r="R33" s="174">
        <v>17</v>
      </c>
      <c r="S33" s="174">
        <v>18</v>
      </c>
      <c r="T33" s="174">
        <v>19</v>
      </c>
      <c r="U33" s="174">
        <v>20</v>
      </c>
      <c r="V33" s="174">
        <v>21</v>
      </c>
      <c r="W33" s="174">
        <v>22</v>
      </c>
      <c r="X33" s="174">
        <v>23</v>
      </c>
      <c r="Y33" s="174">
        <v>24</v>
      </c>
      <c r="Z33" s="174">
        <v>25</v>
      </c>
      <c r="AA33" s="174">
        <v>26</v>
      </c>
      <c r="AB33" s="174">
        <v>27</v>
      </c>
      <c r="AC33" s="174">
        <v>28</v>
      </c>
      <c r="AD33" s="174">
        <v>29</v>
      </c>
      <c r="AE33" s="174">
        <v>30</v>
      </c>
    </row>
    <row r="34" spans="1:31">
      <c r="A34" s="174" t="s">
        <v>30</v>
      </c>
      <c r="B34" s="177">
        <f>B23</f>
        <v>4254.4504749796688</v>
      </c>
      <c r="C34" s="177">
        <f t="shared" ref="C34:AE34" si="5">C23</f>
        <v>4603.3154139280014</v>
      </c>
      <c r="D34" s="177">
        <f t="shared" si="5"/>
        <v>4980.7872778700985</v>
      </c>
      <c r="E34" s="177">
        <f t="shared" si="5"/>
        <v>5389.2118346554416</v>
      </c>
      <c r="F34" s="177">
        <f t="shared" si="5"/>
        <v>5831.1272050971893</v>
      </c>
      <c r="G34" s="177">
        <f t="shared" si="5"/>
        <v>6309.2796359151616</v>
      </c>
      <c r="H34" s="177">
        <f t="shared" si="5"/>
        <v>6826.6405660602031</v>
      </c>
      <c r="I34" s="177">
        <f t="shared" si="5"/>
        <v>7386.4250924771404</v>
      </c>
      <c r="J34" s="177">
        <f t="shared" si="5"/>
        <v>7992.1119500602654</v>
      </c>
      <c r="K34" s="177">
        <f t="shared" si="5"/>
        <v>8647.4651299652105</v>
      </c>
      <c r="L34" s="177">
        <f t="shared" si="5"/>
        <v>9356.5572706223538</v>
      </c>
      <c r="M34" s="177">
        <f t="shared" si="5"/>
        <v>10123.794966813388</v>
      </c>
      <c r="N34" s="177">
        <f t="shared" si="5"/>
        <v>10953.946154092089</v>
      </c>
      <c r="O34" s="177">
        <f t="shared" si="5"/>
        <v>11852.169738727636</v>
      </c>
      <c r="P34" s="177">
        <f t="shared" si="5"/>
        <v>12824.047657303305</v>
      </c>
      <c r="Q34" s="177">
        <f t="shared" si="5"/>
        <v>13875.619565202174</v>
      </c>
      <c r="R34" s="177">
        <f t="shared" si="5"/>
        <v>15013.420369548749</v>
      </c>
      <c r="S34" s="177">
        <f t="shared" si="5"/>
        <v>16244.520839851746</v>
      </c>
      <c r="T34" s="177">
        <f t="shared" si="5"/>
        <v>17576.571548719588</v>
      </c>
      <c r="U34" s="177">
        <f t="shared" si="5"/>
        <v>19017.850415714598</v>
      </c>
      <c r="V34" s="177">
        <f t="shared" si="5"/>
        <v>20577.314149803195</v>
      </c>
      <c r="W34" s="177">
        <f t="shared" si="5"/>
        <v>22264.653910087058</v>
      </c>
      <c r="X34" s="177">
        <f t="shared" si="5"/>
        <v>24090.355530714198</v>
      </c>
      <c r="Y34" s="177">
        <f t="shared" si="5"/>
        <v>26065.764684232763</v>
      </c>
      <c r="Z34" s="177">
        <f t="shared" si="5"/>
        <v>28203.157388339849</v>
      </c>
      <c r="AA34" s="177">
        <f t="shared" si="5"/>
        <v>30515.816294183714</v>
      </c>
      <c r="AB34" s="177">
        <f t="shared" si="5"/>
        <v>33018.113230306779</v>
      </c>
      <c r="AC34" s="177">
        <f t="shared" si="5"/>
        <v>35725.598515191938</v>
      </c>
      <c r="AD34" s="177">
        <f t="shared" si="5"/>
        <v>38655.097593437677</v>
      </c>
      <c r="AE34" s="177">
        <f t="shared" si="5"/>
        <v>41824.815596099565</v>
      </c>
    </row>
    <row r="35" spans="1:31">
      <c r="A35" s="180">
        <v>8.2000000000000003E-2</v>
      </c>
      <c r="B35" s="179">
        <f t="dataTable" ref="B35:AE36" dt2D="0" dtr="0" r1="B6" ca="1"/>
        <v>4254.4504749796688</v>
      </c>
      <c r="C35" s="179">
        <v>4603.3154139280014</v>
      </c>
      <c r="D35" s="179">
        <v>4980.7872778700985</v>
      </c>
      <c r="E35" s="179">
        <v>5389.2118346554416</v>
      </c>
      <c r="F35" s="179">
        <v>5831.1272050971893</v>
      </c>
      <c r="G35" s="179">
        <v>6309.2796359151616</v>
      </c>
      <c r="H35" s="179">
        <v>6826.6405660602031</v>
      </c>
      <c r="I35" s="179">
        <v>7386.4250924771404</v>
      </c>
      <c r="J35" s="179">
        <v>7992.1119500602654</v>
      </c>
      <c r="K35" s="179">
        <v>8647.4651299652105</v>
      </c>
      <c r="L35" s="179">
        <v>9356.5572706223538</v>
      </c>
      <c r="M35" s="179">
        <v>10123.794966813388</v>
      </c>
      <c r="N35" s="179">
        <v>10953.946154092089</v>
      </c>
      <c r="O35" s="179">
        <v>11852.169738727636</v>
      </c>
      <c r="P35" s="179">
        <v>12824.047657303305</v>
      </c>
      <c r="Q35" s="179">
        <v>13875.619565202174</v>
      </c>
      <c r="R35" s="179">
        <v>15013.420369548749</v>
      </c>
      <c r="S35" s="179">
        <v>16244.520839851746</v>
      </c>
      <c r="T35" s="179">
        <v>17576.571548719588</v>
      </c>
      <c r="U35" s="179">
        <v>19017.850415714598</v>
      </c>
      <c r="V35" s="179">
        <v>20577.314149803195</v>
      </c>
      <c r="W35" s="179">
        <v>22264.653910087058</v>
      </c>
      <c r="X35" s="179">
        <v>24090.355530714198</v>
      </c>
      <c r="Y35" s="179">
        <v>26065.764684232763</v>
      </c>
      <c r="Z35" s="179">
        <v>28203.157388339849</v>
      </c>
      <c r="AA35" s="179">
        <v>30515.816294183714</v>
      </c>
      <c r="AB35" s="179">
        <v>33018.113230306779</v>
      </c>
      <c r="AC35" s="179">
        <v>35725.598515191938</v>
      </c>
      <c r="AD35" s="179">
        <v>38655.097593437677</v>
      </c>
      <c r="AE35" s="179">
        <v>41824.815596099565</v>
      </c>
    </row>
    <row r="36" spans="1:31">
      <c r="A36" s="180">
        <v>9.5000000000000001E-2</v>
      </c>
      <c r="B36" s="179">
        <v>3340.2922268203911</v>
      </c>
      <c r="C36" s="179">
        <v>3657.6199883683221</v>
      </c>
      <c r="D36" s="179">
        <v>4005.0938872633124</v>
      </c>
      <c r="E36" s="179">
        <v>4385.5778065533304</v>
      </c>
      <c r="F36" s="179">
        <v>4802.2076981758946</v>
      </c>
      <c r="G36" s="179">
        <v>5258.4174295026096</v>
      </c>
      <c r="H36" s="179">
        <v>5757.967085305354</v>
      </c>
      <c r="I36" s="179">
        <v>6304.9739584093622</v>
      </c>
      <c r="J36" s="179">
        <v>6903.9464844582544</v>
      </c>
      <c r="K36" s="179">
        <v>7559.8214004817855</v>
      </c>
      <c r="L36" s="179">
        <v>8278.0044335275597</v>
      </c>
      <c r="M36" s="179">
        <v>9064.4148547126752</v>
      </c>
      <c r="N36" s="179">
        <v>9925.5342659103771</v>
      </c>
      <c r="O36" s="179">
        <v>10868.460021171864</v>
      </c>
      <c r="P36" s="179">
        <v>11900.963723183188</v>
      </c>
      <c r="Q36" s="179">
        <v>13031.555276885592</v>
      </c>
      <c r="R36" s="179">
        <v>14269.553028189723</v>
      </c>
      <c r="S36" s="179">
        <v>15625.160565867744</v>
      </c>
      <c r="T36" s="179">
        <v>17109.550819625176</v>
      </c>
      <c r="U36" s="179">
        <v>18734.958147489575</v>
      </c>
      <c r="V36" s="179">
        <v>20514.779171501083</v>
      </c>
      <c r="W36" s="179">
        <v>22463.683192793684</v>
      </c>
      <c r="X36" s="179">
        <v>24597.733096109085</v>
      </c>
      <c r="Y36" s="179">
        <v>26934.517740239447</v>
      </c>
      <c r="Z36" s="179">
        <v>29493.296925562194</v>
      </c>
      <c r="AA36" s="179">
        <v>32295.160133490604</v>
      </c>
      <c r="AB36" s="179">
        <v>35363.200346172212</v>
      </c>
      <c r="AC36" s="179">
        <v>38722.704379058574</v>
      </c>
      <c r="AD36" s="179">
        <v>42401.361295069131</v>
      </c>
      <c r="AE36" s="179">
        <v>46429.490618100703</v>
      </c>
    </row>
    <row r="37" spans="1:3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</row>
    <row r="38" spans="1:31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</row>
    <row r="39" spans="1:31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</row>
    <row r="40" spans="1:31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</row>
    <row r="41" spans="1:3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</row>
    <row r="42" spans="1:31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</row>
    <row r="43" spans="1:3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</row>
    <row r="44" spans="1:3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</row>
    <row r="45" spans="1:3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</row>
    <row r="46" spans="1:31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</row>
  </sheetData>
  <mergeCells count="1">
    <mergeCell ref="A1:D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F9B9-C0F9-41F2-BC5A-CD146525CEA7}">
  <dimension ref="A1:M27"/>
  <sheetViews>
    <sheetView showGridLines="0" zoomScale="70" zoomScaleNormal="70" workbookViewId="0">
      <selection activeCell="B4" sqref="B4:B7"/>
    </sheetView>
  </sheetViews>
  <sheetFormatPr defaultColWidth="13.21875" defaultRowHeight="21"/>
  <cols>
    <col min="1" max="1" width="78.21875" style="11" customWidth="1"/>
    <col min="2" max="2" width="15.6640625" style="11" bestFit="1" customWidth="1"/>
    <col min="3" max="11" width="11.44140625" style="11" bestFit="1" customWidth="1"/>
    <col min="12" max="12" width="15.6640625" style="11" bestFit="1" customWidth="1"/>
    <col min="13" max="13" width="12.77734375" style="11" bestFit="1" customWidth="1"/>
    <col min="14" max="17" width="11.21875" style="11" bestFit="1" customWidth="1"/>
    <col min="18" max="16384" width="13.21875" style="11"/>
  </cols>
  <sheetData>
    <row r="1" spans="1:13" ht="25.8" customHeight="1">
      <c r="A1" s="146" t="s">
        <v>31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>
      <c r="A2" s="146"/>
      <c r="B2" s="78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>
      <c r="A3" s="79"/>
      <c r="B3" s="78"/>
      <c r="C3" s="80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ht="49.05" customHeight="1">
      <c r="A4" s="78" t="s">
        <v>32</v>
      </c>
      <c r="B4" s="165">
        <f>C4</f>
        <v>1000</v>
      </c>
      <c r="C4" s="80">
        <v>1000</v>
      </c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ht="51" customHeight="1">
      <c r="A5" s="78" t="s">
        <v>33</v>
      </c>
      <c r="B5" s="165">
        <f>C5</f>
        <v>15</v>
      </c>
      <c r="C5" s="80">
        <v>15</v>
      </c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49.05" customHeight="1">
      <c r="A6" s="78" t="s">
        <v>34</v>
      </c>
      <c r="B6" s="166">
        <f>C6/10000</f>
        <v>5.5E-2</v>
      </c>
      <c r="C6" s="80">
        <v>550</v>
      </c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48" customHeight="1">
      <c r="A7" s="78" t="s">
        <v>35</v>
      </c>
      <c r="B7" s="167">
        <f>C7</f>
        <v>10</v>
      </c>
      <c r="C7" s="80">
        <v>10</v>
      </c>
      <c r="D7" s="77"/>
      <c r="E7" s="77"/>
      <c r="F7" s="77"/>
      <c r="G7" s="77"/>
      <c r="H7" s="77"/>
      <c r="I7" s="77"/>
      <c r="J7" s="77"/>
      <c r="K7" s="77"/>
      <c r="L7" s="77"/>
      <c r="M7" s="77"/>
    </row>
    <row r="8" spans="1:1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</row>
    <row r="9" spans="1:13">
      <c r="A9" s="81" t="s">
        <v>36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</row>
    <row r="10" spans="1:13">
      <c r="A10" s="78" t="s">
        <v>37</v>
      </c>
      <c r="B10" s="82">
        <v>0</v>
      </c>
      <c r="C10" s="82">
        <v>1</v>
      </c>
      <c r="D10" s="82">
        <v>2</v>
      </c>
      <c r="E10" s="82">
        <v>3</v>
      </c>
      <c r="F10" s="82">
        <v>4</v>
      </c>
      <c r="G10" s="82">
        <v>5</v>
      </c>
      <c r="H10" s="82">
        <v>6</v>
      </c>
      <c r="I10" s="82">
        <v>7</v>
      </c>
      <c r="J10" s="82">
        <v>8</v>
      </c>
      <c r="K10" s="82">
        <v>9</v>
      </c>
      <c r="L10" s="82">
        <v>10</v>
      </c>
      <c r="M10" s="77"/>
    </row>
    <row r="11" spans="1:13">
      <c r="A11" s="78" t="s">
        <v>38</v>
      </c>
      <c r="B11" s="82"/>
      <c r="C11" s="83">
        <f>$B$5</f>
        <v>15</v>
      </c>
      <c r="D11" s="83">
        <f t="shared" ref="D11:L11" si="0">$B$5</f>
        <v>15</v>
      </c>
      <c r="E11" s="83">
        <f t="shared" si="0"/>
        <v>15</v>
      </c>
      <c r="F11" s="83">
        <f t="shared" si="0"/>
        <v>15</v>
      </c>
      <c r="G11" s="83">
        <f t="shared" si="0"/>
        <v>15</v>
      </c>
      <c r="H11" s="83">
        <f t="shared" si="0"/>
        <v>15</v>
      </c>
      <c r="I11" s="83">
        <f t="shared" si="0"/>
        <v>15</v>
      </c>
      <c r="J11" s="83">
        <f t="shared" si="0"/>
        <v>15</v>
      </c>
      <c r="K11" s="83">
        <f t="shared" si="0"/>
        <v>15</v>
      </c>
      <c r="L11" s="83">
        <f t="shared" si="0"/>
        <v>15</v>
      </c>
      <c r="M11" s="77"/>
    </row>
    <row r="12" spans="1:13">
      <c r="A12" s="78" t="s">
        <v>39</v>
      </c>
      <c r="B12" s="82"/>
      <c r="C12" s="83">
        <f>C11</f>
        <v>15</v>
      </c>
      <c r="D12" s="83">
        <f t="shared" ref="D12:K12" si="1">D11</f>
        <v>15</v>
      </c>
      <c r="E12" s="83">
        <f t="shared" si="1"/>
        <v>15</v>
      </c>
      <c r="F12" s="83">
        <f t="shared" si="1"/>
        <v>15</v>
      </c>
      <c r="G12" s="83">
        <f t="shared" si="1"/>
        <v>15</v>
      </c>
      <c r="H12" s="83">
        <f t="shared" si="1"/>
        <v>15</v>
      </c>
      <c r="I12" s="83">
        <f t="shared" si="1"/>
        <v>15</v>
      </c>
      <c r="J12" s="83">
        <f t="shared" si="1"/>
        <v>15</v>
      </c>
      <c r="K12" s="83">
        <f t="shared" si="1"/>
        <v>15</v>
      </c>
      <c r="L12" s="83">
        <f>L11+B4</f>
        <v>1015</v>
      </c>
      <c r="M12" s="77"/>
    </row>
    <row r="13" spans="1:13">
      <c r="A13" s="78" t="s">
        <v>40</v>
      </c>
      <c r="B13" s="82"/>
      <c r="C13" s="83">
        <f t="shared" ref="C13:L13" si="2">C12/(1+$B$6)^C10</f>
        <v>14.218009478672986</v>
      </c>
      <c r="D13" s="83">
        <f t="shared" si="2"/>
        <v>13.476786235708992</v>
      </c>
      <c r="E13" s="83">
        <f t="shared" si="2"/>
        <v>12.77420496275734</v>
      </c>
      <c r="F13" s="83">
        <f t="shared" si="2"/>
        <v>12.108251149533023</v>
      </c>
      <c r="G13" s="83">
        <f t="shared" si="2"/>
        <v>11.477015307614241</v>
      </c>
      <c r="H13" s="83">
        <f t="shared" si="2"/>
        <v>10.878687495368949</v>
      </c>
      <c r="I13" s="83">
        <f t="shared" si="2"/>
        <v>10.311552128311801</v>
      </c>
      <c r="J13" s="83">
        <f t="shared" si="2"/>
        <v>9.7739830600111848</v>
      </c>
      <c r="K13" s="83">
        <f t="shared" si="2"/>
        <v>9.2644389194418828</v>
      </c>
      <c r="L13" s="83">
        <f t="shared" si="2"/>
        <v>594.21203811902114</v>
      </c>
      <c r="M13" s="77"/>
    </row>
    <row r="14" spans="1:13">
      <c r="A14" s="79" t="s">
        <v>41</v>
      </c>
      <c r="B14" s="84">
        <f>SUM(C13:L13)</f>
        <v>698.49496685644158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</row>
    <row r="15" spans="1:13">
      <c r="A15" s="78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</row>
    <row r="16" spans="1:13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</row>
    <row r="17" spans="1:13">
      <c r="A17" s="81" t="s">
        <v>42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</row>
    <row r="18" spans="1:13">
      <c r="A18" s="79" t="s">
        <v>41</v>
      </c>
      <c r="B18" s="85">
        <f>(B5*(1-(1+B6)^-B7)/B6) + B4/(1+B6)^B7</f>
        <v>698.49496685644147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</row>
    <row r="19" spans="1:13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</row>
    <row r="20" spans="1:13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</row>
    <row r="21" spans="1:13">
      <c r="A21" s="81" t="s">
        <v>43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</row>
    <row r="22" spans="1:13">
      <c r="A22" s="79" t="s">
        <v>41</v>
      </c>
      <c r="B22" s="85">
        <f>-PV(B6,B7,B5,B4)</f>
        <v>698.49496685644147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</row>
    <row r="23" spans="1:1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</row>
    <row r="24" spans="1:13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</row>
    <row r="25" spans="1:13">
      <c r="A25" s="86"/>
      <c r="B25" s="86"/>
      <c r="C25" s="86"/>
      <c r="D25" s="86"/>
      <c r="E25" s="86"/>
      <c r="F25" s="77"/>
      <c r="G25" s="77"/>
      <c r="H25" s="77"/>
      <c r="I25" s="77"/>
      <c r="J25" s="77"/>
      <c r="K25" s="77"/>
      <c r="L25" s="77"/>
      <c r="M25" s="77"/>
    </row>
    <row r="26" spans="1:13">
      <c r="A26" s="86"/>
      <c r="B26" s="86"/>
      <c r="C26" s="86"/>
      <c r="D26" s="86"/>
      <c r="E26" s="86"/>
      <c r="F26" s="77"/>
      <c r="G26" s="77"/>
      <c r="H26" s="77"/>
      <c r="I26" s="77"/>
      <c r="J26" s="77"/>
      <c r="K26" s="77"/>
      <c r="L26" s="77"/>
      <c r="M26" s="77"/>
    </row>
    <row r="27" spans="1:13">
      <c r="A27" s="12"/>
      <c r="B27" s="12"/>
      <c r="C27" s="12"/>
      <c r="D27" s="12"/>
      <c r="E27" s="12"/>
    </row>
  </sheetData>
  <mergeCells count="1">
    <mergeCell ref="A1:A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defaultSize="0" autoPict="0">
                <anchor moveWithCells="1" sizeWithCells="1">
                  <from>
                    <xdr:col>0</xdr:col>
                    <xdr:colOff>4328160</xdr:colOff>
                    <xdr:row>3</xdr:row>
                    <xdr:rowOff>106680</xdr:rowOff>
                  </from>
                  <to>
                    <xdr:col>1</xdr:col>
                    <xdr:colOff>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Spinner 2">
              <controlPr defaultSize="0" autoPict="0">
                <anchor moveWithCells="1" sizeWithCells="1">
                  <from>
                    <xdr:col>0</xdr:col>
                    <xdr:colOff>4328160</xdr:colOff>
                    <xdr:row>4</xdr:row>
                    <xdr:rowOff>129540</xdr:rowOff>
                  </from>
                  <to>
                    <xdr:col>1</xdr:col>
                    <xdr:colOff>0</xdr:colOff>
                    <xdr:row>4</xdr:row>
                    <xdr:rowOff>647700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Spinner 3">
              <controlPr defaultSize="0" autoPict="0">
                <anchor moveWithCells="1" sizeWithCells="1">
                  <from>
                    <xdr:col>0</xdr:col>
                    <xdr:colOff>4328160</xdr:colOff>
                    <xdr:row>5</xdr:row>
                    <xdr:rowOff>99060</xdr:rowOff>
                  </from>
                  <to>
                    <xdr:col>1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Spinner 4">
              <controlPr defaultSize="0" autoPict="0">
                <anchor moveWithCells="1" sizeWithCells="1">
                  <from>
                    <xdr:col>0</xdr:col>
                    <xdr:colOff>4328160</xdr:colOff>
                    <xdr:row>6</xdr:row>
                    <xdr:rowOff>91440</xdr:rowOff>
                  </from>
                  <to>
                    <xdr:col>1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0153-C8B2-4AF4-9D8E-015874AB68F0}">
  <dimension ref="A1:Q35"/>
  <sheetViews>
    <sheetView showGridLines="0" zoomScale="55" zoomScaleNormal="55" workbookViewId="0">
      <selection sqref="A1:B3"/>
    </sheetView>
  </sheetViews>
  <sheetFormatPr defaultColWidth="13.21875" defaultRowHeight="21"/>
  <cols>
    <col min="1" max="1" width="109.33203125" style="11" bestFit="1" customWidth="1"/>
    <col min="2" max="2" width="31.109375" style="11" customWidth="1"/>
    <col min="3" max="3" width="16.88671875" style="11" bestFit="1" customWidth="1"/>
    <col min="4" max="4" width="43" style="11" bestFit="1" customWidth="1"/>
    <col min="5" max="5" width="16.88671875" style="11" bestFit="1" customWidth="1"/>
    <col min="6" max="8" width="21.5546875" style="11" bestFit="1" customWidth="1"/>
    <col min="9" max="11" width="16.88671875" style="11" bestFit="1" customWidth="1"/>
    <col min="12" max="12" width="25.44140625" style="11" bestFit="1" customWidth="1"/>
    <col min="13" max="21" width="16.88671875" style="11" bestFit="1" customWidth="1"/>
    <col min="22" max="16384" width="13.21875" style="11"/>
  </cols>
  <sheetData>
    <row r="1" spans="1:17">
      <c r="A1" s="161" t="s">
        <v>44</v>
      </c>
      <c r="B1" s="161"/>
    </row>
    <row r="2" spans="1:17">
      <c r="A2" s="161"/>
      <c r="B2" s="161"/>
    </row>
    <row r="3" spans="1:17">
      <c r="A3" s="161"/>
      <c r="B3" s="161"/>
    </row>
    <row r="4" spans="1:17">
      <c r="A4" s="105"/>
    </row>
    <row r="5" spans="1:17" ht="25.8">
      <c r="A5" s="13" t="s">
        <v>45</v>
      </c>
      <c r="B5" s="14"/>
      <c r="L5" s="70" t="s">
        <v>46</v>
      </c>
      <c r="M5" s="98">
        <v>4</v>
      </c>
    </row>
    <row r="6" spans="1:17" ht="66" customHeight="1">
      <c r="A6" s="87" t="s">
        <v>47</v>
      </c>
      <c r="B6" s="159"/>
      <c r="C6" s="99">
        <v>1</v>
      </c>
      <c r="D6" s="88" t="str">
        <f>IF(C6=1,"Annual Percentage Rate","Effective Annual Rate")</f>
        <v>Annual Percentage Rate</v>
      </c>
      <c r="E6" s="70"/>
      <c r="F6" s="87" t="s">
        <v>48</v>
      </c>
      <c r="G6" s="72" t="str">
        <f>CHOOSE(M5," Chinese Yuan", "Euro", "Indian Rupee", "US Dollar")</f>
        <v>US Dollar</v>
      </c>
      <c r="H6" s="70"/>
      <c r="I6" s="70"/>
      <c r="J6" s="70"/>
      <c r="K6" s="70"/>
      <c r="L6" s="72" t="s">
        <v>49</v>
      </c>
      <c r="M6" s="89">
        <v>9.85</v>
      </c>
      <c r="N6" s="70"/>
      <c r="O6" s="70"/>
      <c r="P6" s="70"/>
      <c r="Q6" s="70"/>
    </row>
    <row r="7" spans="1:17" ht="63" customHeight="1">
      <c r="A7" s="72" t="s">
        <v>50</v>
      </c>
      <c r="B7" s="160">
        <f>C7/10000</f>
        <v>5.8000000000000003E-2</v>
      </c>
      <c r="C7" s="99">
        <v>580</v>
      </c>
      <c r="D7" s="70"/>
      <c r="E7" s="70"/>
      <c r="F7" s="87" t="s">
        <v>51</v>
      </c>
      <c r="G7" s="90">
        <f>CHOOSE(M5,M6,M7,M8,M9)</f>
        <v>1</v>
      </c>
      <c r="H7" s="70"/>
      <c r="I7" s="70"/>
      <c r="J7" s="70"/>
      <c r="K7" s="70"/>
      <c r="L7" s="72" t="s">
        <v>52</v>
      </c>
      <c r="M7" s="91">
        <v>0.45</v>
      </c>
      <c r="N7" s="70"/>
      <c r="O7" s="70"/>
      <c r="P7" s="70"/>
      <c r="Q7" s="70"/>
    </row>
    <row r="8" spans="1:17" ht="66" customHeight="1">
      <c r="A8" s="72" t="s">
        <v>53</v>
      </c>
      <c r="B8" s="107">
        <f>C8/10000</f>
        <v>0.04</v>
      </c>
      <c r="C8" s="99">
        <v>400</v>
      </c>
      <c r="D8" s="70"/>
      <c r="E8" s="70"/>
      <c r="F8" s="70"/>
      <c r="G8" s="70"/>
      <c r="H8" s="70"/>
      <c r="I8" s="70"/>
      <c r="J8" s="70"/>
      <c r="K8" s="70"/>
      <c r="L8" s="72" t="s">
        <v>54</v>
      </c>
      <c r="M8" s="92">
        <v>55</v>
      </c>
      <c r="N8" s="70"/>
      <c r="O8" s="70"/>
      <c r="P8" s="70"/>
      <c r="Q8" s="70"/>
    </row>
    <row r="9" spans="1:17" ht="66" customHeight="1">
      <c r="A9" s="72" t="s">
        <v>55</v>
      </c>
      <c r="B9" s="108">
        <f>C9</f>
        <v>2</v>
      </c>
      <c r="C9" s="99">
        <v>2</v>
      </c>
      <c r="D9" s="70"/>
      <c r="E9" s="70"/>
      <c r="F9" s="70"/>
      <c r="G9" s="70"/>
      <c r="H9" s="70"/>
      <c r="I9" s="70"/>
      <c r="J9" s="70"/>
      <c r="K9" s="70"/>
      <c r="L9" s="72" t="s">
        <v>56</v>
      </c>
      <c r="M9" s="93">
        <v>1</v>
      </c>
      <c r="N9" s="70"/>
      <c r="O9" s="70"/>
      <c r="P9" s="70"/>
      <c r="Q9" s="70"/>
    </row>
    <row r="10" spans="1:17" ht="66" customHeight="1">
      <c r="A10" s="72" t="s">
        <v>57</v>
      </c>
      <c r="B10" s="108">
        <f>C10</f>
        <v>10</v>
      </c>
      <c r="C10" s="99">
        <v>10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ht="76.95" customHeight="1">
      <c r="A11" s="72" t="s">
        <v>58</v>
      </c>
      <c r="B11" s="108">
        <f>C11*G7</f>
        <v>1000</v>
      </c>
      <c r="C11" s="99">
        <v>1000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spans="1:17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spans="1:17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25.8">
      <c r="A14" s="94" t="s">
        <v>59</v>
      </c>
      <c r="B14" s="72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>
      <c r="A15" s="72" t="s">
        <v>60</v>
      </c>
      <c r="B15" s="95">
        <f>IF(C6=2,((1+B8)^(1/B9))-1,B8/B9)</f>
        <v>0.02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spans="1:17">
      <c r="A16" s="72" t="s">
        <v>61</v>
      </c>
      <c r="B16" s="71">
        <f>B7*(B11/B9)</f>
        <v>29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1:17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spans="1:17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spans="1:17" ht="25.8">
      <c r="A19" s="94" t="s">
        <v>62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1:17">
      <c r="A20" s="72" t="s">
        <v>63</v>
      </c>
      <c r="B20" s="72">
        <v>0</v>
      </c>
      <c r="C20" s="72">
        <v>1</v>
      </c>
      <c r="D20" s="72">
        <v>2</v>
      </c>
      <c r="E20" s="72">
        <v>3</v>
      </c>
      <c r="F20" s="72">
        <v>4</v>
      </c>
      <c r="G20" s="72">
        <v>5</v>
      </c>
      <c r="H20" s="72">
        <v>6</v>
      </c>
      <c r="I20" s="72">
        <v>7</v>
      </c>
      <c r="J20" s="72">
        <v>8</v>
      </c>
      <c r="K20" s="72">
        <v>9</v>
      </c>
      <c r="L20" s="72">
        <v>10</v>
      </c>
      <c r="M20" s="70"/>
      <c r="N20" s="70"/>
      <c r="O20" s="70"/>
      <c r="P20" s="70"/>
      <c r="Q20" s="70"/>
    </row>
    <row r="21" spans="1:17">
      <c r="A21" s="72" t="s">
        <v>64</v>
      </c>
      <c r="B21" s="72">
        <v>0</v>
      </c>
      <c r="C21" s="72">
        <v>0.5</v>
      </c>
      <c r="D21" s="72">
        <v>1</v>
      </c>
      <c r="E21" s="72">
        <v>1.5</v>
      </c>
      <c r="F21" s="72">
        <v>2</v>
      </c>
      <c r="G21" s="72">
        <v>2.5</v>
      </c>
      <c r="H21" s="72">
        <v>3</v>
      </c>
      <c r="I21" s="72">
        <v>3.5</v>
      </c>
      <c r="J21" s="72">
        <v>4</v>
      </c>
      <c r="K21" s="72">
        <v>4.5</v>
      </c>
      <c r="L21" s="72">
        <v>5</v>
      </c>
      <c r="M21" s="70"/>
      <c r="N21" s="70"/>
      <c r="O21" s="70"/>
      <c r="P21" s="70"/>
      <c r="Q21" s="70"/>
    </row>
    <row r="22" spans="1:17">
      <c r="A22" s="72" t="s">
        <v>65</v>
      </c>
      <c r="B22" s="72"/>
      <c r="C22" s="71">
        <f>$B$16</f>
        <v>29</v>
      </c>
      <c r="D22" s="71">
        <f t="shared" ref="D22:K22" si="0">$B$16</f>
        <v>29</v>
      </c>
      <c r="E22" s="71">
        <f t="shared" si="0"/>
        <v>29</v>
      </c>
      <c r="F22" s="71">
        <f t="shared" si="0"/>
        <v>29</v>
      </c>
      <c r="G22" s="71">
        <f t="shared" si="0"/>
        <v>29</v>
      </c>
      <c r="H22" s="71">
        <f t="shared" si="0"/>
        <v>29</v>
      </c>
      <c r="I22" s="71">
        <f t="shared" si="0"/>
        <v>29</v>
      </c>
      <c r="J22" s="71">
        <f>$B$16</f>
        <v>29</v>
      </c>
      <c r="K22" s="71">
        <f t="shared" si="0"/>
        <v>29</v>
      </c>
      <c r="L22" s="71">
        <f>$B$16+B11</f>
        <v>1029</v>
      </c>
      <c r="M22" s="70"/>
      <c r="N22" s="70"/>
      <c r="O22" s="70"/>
      <c r="P22" s="70"/>
      <c r="Q22" s="70"/>
    </row>
    <row r="23" spans="1:17">
      <c r="A23" s="72" t="s">
        <v>66</v>
      </c>
      <c r="B23" s="72"/>
      <c r="C23" s="71">
        <f t="shared" ref="C23:L23" si="1">C22/(1+$B$15)^C20</f>
        <v>28.431372549019606</v>
      </c>
      <c r="D23" s="71">
        <f t="shared" si="1"/>
        <v>27.873894655901577</v>
      </c>
      <c r="E23" s="71">
        <f t="shared" si="1"/>
        <v>27.327347701864291</v>
      </c>
      <c r="F23" s="71">
        <f t="shared" si="1"/>
        <v>26.791517354768914</v>
      </c>
      <c r="G23" s="71">
        <f t="shared" si="1"/>
        <v>26.266193485067561</v>
      </c>
      <c r="H23" s="71">
        <f t="shared" si="1"/>
        <v>25.751170083399568</v>
      </c>
      <c r="I23" s="71">
        <f t="shared" si="1"/>
        <v>25.246245179803502</v>
      </c>
      <c r="J23" s="71">
        <f t="shared" si="1"/>
        <v>24.751220764513235</v>
      </c>
      <c r="K23" s="71">
        <f t="shared" si="1"/>
        <v>24.265902710307095</v>
      </c>
      <c r="L23" s="71">
        <f t="shared" si="1"/>
        <v>844.13840057153482</v>
      </c>
      <c r="M23" s="70"/>
      <c r="N23" s="70"/>
      <c r="O23" s="70"/>
      <c r="P23" s="70"/>
      <c r="Q23" s="70"/>
    </row>
    <row r="24" spans="1:17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</row>
    <row r="25" spans="1:17">
      <c r="A25" s="72" t="s">
        <v>41</v>
      </c>
      <c r="B25" s="138">
        <f>SUM(C23:L23)</f>
        <v>1080.8432650561801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spans="1:17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</row>
    <row r="27" spans="1:17" ht="25.8">
      <c r="A27" s="94" t="s">
        <v>67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spans="1:17">
      <c r="A28" s="72" t="s">
        <v>68</v>
      </c>
      <c r="B28" s="138">
        <f>B16*(1-((1+B15)^(-B10)))/B15 + B11/(1+B15)^B10</f>
        <v>1080.8432650561799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spans="1:17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1:17" ht="25.8">
      <c r="A30" s="96" t="s">
        <v>69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</row>
    <row r="31" spans="1:17">
      <c r="A31" s="72" t="s">
        <v>68</v>
      </c>
      <c r="B31" s="139">
        <f>-PV(B15,B10,C22,B11)</f>
        <v>1080.8432650561801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1:17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spans="1:17" ht="25.8">
      <c r="A33" s="96" t="s">
        <v>70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</row>
    <row r="34" spans="1:17">
      <c r="A34" s="72" t="s">
        <v>68</v>
      </c>
      <c r="B34" s="139">
        <f>IF(C6=2,"",PRICE(DATE(2000,1,1),DATE(2000+(B10/B9),1,1),B7,B8,100,B9)*B11/100)</f>
        <v>1080.8432650561801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</row>
    <row r="35" spans="1:17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</row>
  </sheetData>
  <mergeCells count="1">
    <mergeCell ref="A1:B3"/>
  </mergeCells>
  <conditionalFormatting sqref="B11 B16 C22:L23 B25 B28 B31">
    <cfRule type="expression" dxfId="45" priority="5">
      <formula>$M$5=4</formula>
    </cfRule>
    <cfRule type="expression" dxfId="44" priority="6">
      <formula>$M$5=3</formula>
    </cfRule>
    <cfRule type="expression" dxfId="43" priority="7">
      <formula>$M$5=2</formula>
    </cfRule>
    <cfRule type="expression" dxfId="42" priority="8">
      <formula>$M$5=1</formula>
    </cfRule>
  </conditionalFormatting>
  <conditionalFormatting sqref="B11">
    <cfRule type="expression" dxfId="41" priority="9">
      <formula>$B$11</formula>
    </cfRule>
    <cfRule type="expression" dxfId="40" priority="10">
      <formula>$B$31</formula>
    </cfRule>
  </conditionalFormatting>
  <conditionalFormatting sqref="B34">
    <cfRule type="expression" dxfId="39" priority="1">
      <formula>$M$5=4</formula>
    </cfRule>
    <cfRule type="expression" dxfId="38" priority="2">
      <formula>$M$5=3</formula>
    </cfRule>
    <cfRule type="expression" dxfId="37" priority="3">
      <formula>$M$5=2</formula>
    </cfRule>
    <cfRule type="expression" dxfId="36" priority="4">
      <formula>$M$5=1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pinner 1">
              <controlPr defaultSize="0" autoPict="0">
                <anchor moveWithCells="1" sizeWithCells="1">
                  <from>
                    <xdr:col>0</xdr:col>
                    <xdr:colOff>6118860</xdr:colOff>
                    <xdr:row>6</xdr:row>
                    <xdr:rowOff>137160</xdr:rowOff>
                  </from>
                  <to>
                    <xdr:col>0</xdr:col>
                    <xdr:colOff>6804660</xdr:colOff>
                    <xdr:row>6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Spinner 2">
              <controlPr defaultSize="0" autoPict="0">
                <anchor moveWithCells="1" sizeWithCells="1">
                  <from>
                    <xdr:col>0</xdr:col>
                    <xdr:colOff>6118860</xdr:colOff>
                    <xdr:row>7</xdr:row>
                    <xdr:rowOff>137160</xdr:rowOff>
                  </from>
                  <to>
                    <xdr:col>0</xdr:col>
                    <xdr:colOff>6804660</xdr:colOff>
                    <xdr:row>7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Spinner 3">
              <controlPr defaultSize="0" autoPict="0">
                <anchor moveWithCells="1" sizeWithCells="1">
                  <from>
                    <xdr:col>0</xdr:col>
                    <xdr:colOff>6118860</xdr:colOff>
                    <xdr:row>8</xdr:row>
                    <xdr:rowOff>137160</xdr:rowOff>
                  </from>
                  <to>
                    <xdr:col>0</xdr:col>
                    <xdr:colOff>6804660</xdr:colOff>
                    <xdr:row>8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Spinner 4">
              <controlPr defaultSize="0" autoPict="0">
                <anchor moveWithCells="1" sizeWithCells="1">
                  <from>
                    <xdr:col>0</xdr:col>
                    <xdr:colOff>6118860</xdr:colOff>
                    <xdr:row>9</xdr:row>
                    <xdr:rowOff>137160</xdr:rowOff>
                  </from>
                  <to>
                    <xdr:col>0</xdr:col>
                    <xdr:colOff>6804660</xdr:colOff>
                    <xdr:row>9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Spinner 5">
              <controlPr defaultSize="0" autoPict="0">
                <anchor moveWithCells="1" sizeWithCells="1">
                  <from>
                    <xdr:col>0</xdr:col>
                    <xdr:colOff>6118860</xdr:colOff>
                    <xdr:row>10</xdr:row>
                    <xdr:rowOff>137160</xdr:rowOff>
                  </from>
                  <to>
                    <xdr:col>0</xdr:col>
                    <xdr:colOff>6804660</xdr:colOff>
                    <xdr:row>10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Option Button 6">
              <controlPr defaultSize="0" autoFill="0" autoLine="0" autoPict="0">
                <anchor moveWithCells="1">
                  <from>
                    <xdr:col>1</xdr:col>
                    <xdr:colOff>152400</xdr:colOff>
                    <xdr:row>5</xdr:row>
                    <xdr:rowOff>137160</xdr:rowOff>
                  </from>
                  <to>
                    <xdr:col>1</xdr:col>
                    <xdr:colOff>693420</xdr:colOff>
                    <xdr:row>5</xdr:row>
                    <xdr:rowOff>685800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Option Button 7">
              <controlPr defaultSize="0" autoFill="0" autoLine="0" autoPict="0">
                <anchor moveWithCells="1">
                  <from>
                    <xdr:col>1</xdr:col>
                    <xdr:colOff>967740</xdr:colOff>
                    <xdr:row>5</xdr:row>
                    <xdr:rowOff>114300</xdr:rowOff>
                  </from>
                  <to>
                    <xdr:col>1</xdr:col>
                    <xdr:colOff>1508760</xdr:colOff>
                    <xdr:row>5</xdr:row>
                    <xdr:rowOff>662940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933A-7B7D-483B-83A2-6C61169B9A5A}">
  <dimension ref="A1:U14"/>
  <sheetViews>
    <sheetView showGridLines="0" topLeftCell="A5" zoomScale="70" zoomScaleNormal="70" workbookViewId="0">
      <selection sqref="A1:A3"/>
    </sheetView>
  </sheetViews>
  <sheetFormatPr defaultColWidth="13.33203125" defaultRowHeight="15.6"/>
  <cols>
    <col min="1" max="1" width="106.77734375" style="16" bestFit="1" customWidth="1"/>
    <col min="2" max="2" width="15.44140625" style="16" bestFit="1" customWidth="1"/>
    <col min="3" max="16384" width="13.33203125" style="16"/>
  </cols>
  <sheetData>
    <row r="1" spans="1:21" ht="25.8" customHeight="1">
      <c r="A1" s="161" t="s">
        <v>71</v>
      </c>
    </row>
    <row r="2" spans="1:21" ht="25.8" customHeight="1">
      <c r="A2" s="161"/>
    </row>
    <row r="3" spans="1:21" ht="25.8" customHeight="1">
      <c r="A3" s="161"/>
    </row>
    <row r="5" spans="1:21" ht="23.4">
      <c r="A5" s="100" t="s">
        <v>69</v>
      </c>
      <c r="B5" s="70"/>
    </row>
    <row r="6" spans="1:21" ht="21">
      <c r="A6" s="72" t="s">
        <v>68</v>
      </c>
      <c r="B6" s="97">
        <v>1080.8432650561801</v>
      </c>
    </row>
    <row r="7" spans="1:21">
      <c r="A7" s="101"/>
      <c r="B7" s="101"/>
    </row>
    <row r="8" spans="1:21">
      <c r="A8" s="101"/>
      <c r="B8" s="101"/>
    </row>
    <row r="9" spans="1:21" ht="21">
      <c r="A9" s="72" t="s">
        <v>72</v>
      </c>
      <c r="B9" s="102">
        <v>0.01</v>
      </c>
      <c r="C9" s="17">
        <v>0.02</v>
      </c>
      <c r="D9" s="17">
        <v>0.03</v>
      </c>
      <c r="E9" s="17">
        <v>0.04</v>
      </c>
      <c r="F9" s="17">
        <v>0.05</v>
      </c>
      <c r="G9" s="17">
        <v>0.06</v>
      </c>
      <c r="H9" s="17">
        <v>7.0000000000000007E-2</v>
      </c>
      <c r="I9" s="17">
        <v>0.08</v>
      </c>
      <c r="J9" s="17">
        <v>0.09</v>
      </c>
      <c r="K9" s="17">
        <v>0.1</v>
      </c>
      <c r="L9" s="17">
        <v>0.11</v>
      </c>
      <c r="M9" s="17">
        <v>0.12</v>
      </c>
      <c r="N9" s="17">
        <v>0.13</v>
      </c>
      <c r="O9" s="17">
        <v>0.14000000000000001</v>
      </c>
      <c r="P9" s="17">
        <v>0.15</v>
      </c>
      <c r="Q9" s="17">
        <v>0.16</v>
      </c>
      <c r="R9" s="17">
        <v>0.17</v>
      </c>
      <c r="S9" s="17">
        <v>0.18</v>
      </c>
      <c r="T9" s="17">
        <v>0.19</v>
      </c>
      <c r="U9" s="17">
        <v>0.2</v>
      </c>
    </row>
    <row r="10" spans="1:21">
      <c r="A10" s="101"/>
      <c r="B10" s="101"/>
    </row>
    <row r="11" spans="1:21">
      <c r="A11" s="101"/>
      <c r="B11" s="101"/>
    </row>
    <row r="12" spans="1:21" ht="25.8">
      <c r="A12" s="94" t="s">
        <v>73</v>
      </c>
      <c r="B12" s="7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21">
      <c r="A13" s="103" t="s">
        <v>74</v>
      </c>
      <c r="B13" s="102">
        <v>5.0000000000000001E-3</v>
      </c>
      <c r="C13" s="18">
        <v>0.01</v>
      </c>
      <c r="D13" s="18">
        <v>1.4999999999999999E-2</v>
      </c>
      <c r="E13" s="18">
        <v>0.02</v>
      </c>
      <c r="F13" s="18">
        <v>2.5000000000000001E-2</v>
      </c>
      <c r="G13" s="18">
        <v>0.03</v>
      </c>
      <c r="H13" s="18">
        <v>3.5000000000000003E-2</v>
      </c>
      <c r="I13" s="18">
        <v>0.04</v>
      </c>
      <c r="J13" s="18">
        <v>4.4999999999999998E-2</v>
      </c>
      <c r="K13" s="18">
        <v>0.05</v>
      </c>
      <c r="L13" s="18">
        <v>5.5E-2</v>
      </c>
      <c r="M13" s="18">
        <v>0.06</v>
      </c>
      <c r="N13" s="18">
        <v>6.5000000000000002E-2</v>
      </c>
      <c r="O13" s="18">
        <v>7.0000000000000007E-2</v>
      </c>
      <c r="P13" s="18">
        <v>7.4999999999999997E-2</v>
      </c>
      <c r="Q13" s="18">
        <v>0.08</v>
      </c>
      <c r="R13" s="18">
        <v>8.5000000000000006E-2</v>
      </c>
      <c r="S13" s="18">
        <v>0.09</v>
      </c>
      <c r="T13" s="18">
        <v>9.5000000000000001E-2</v>
      </c>
      <c r="U13" s="18">
        <v>0.1</v>
      </c>
    </row>
    <row r="14" spans="1:21" ht="21">
      <c r="A14" s="11"/>
      <c r="B14" s="19">
        <v>1080.8432650561801</v>
      </c>
      <c r="C14" s="19">
        <v>1076.5167775176878</v>
      </c>
      <c r="D14" s="19">
        <v>1037.4296253996708</v>
      </c>
      <c r="E14" s="19">
        <v>1000</v>
      </c>
      <c r="F14" s="19">
        <v>964.14931416261834</v>
      </c>
      <c r="G14" s="19">
        <v>929.80307810464524</v>
      </c>
      <c r="H14" s="19">
        <v>896.89066694982159</v>
      </c>
      <c r="I14" s="19">
        <v>865.34510250099186</v>
      </c>
      <c r="J14" s="19">
        <v>835.10284831603212</v>
      </c>
      <c r="K14" s="19">
        <v>806.10361721721222</v>
      </c>
      <c r="L14" s="19">
        <v>778.29019042471691</v>
      </c>
      <c r="M14" s="19">
        <v>751.60824756121769</v>
      </c>
      <c r="N14" s="19">
        <v>726.00620682649594</v>
      </c>
      <c r="O14" s="19">
        <v>701.43507468931318</v>
      </c>
      <c r="P14" s="19">
        <v>677.84830448847845</v>
      </c>
      <c r="Q14" s="19">
        <v>655.20166337648175</v>
      </c>
      <c r="R14" s="19">
        <v>633.45310707755982</v>
      </c>
      <c r="S14" s="19">
        <v>612.56266196770855</v>
      </c>
      <c r="T14" s="19">
        <v>592.49231401731231</v>
      </c>
      <c r="U14" s="19">
        <v>573.20590416778657</v>
      </c>
    </row>
  </sheetData>
  <mergeCells count="1">
    <mergeCell ref="A1:A3"/>
  </mergeCells>
  <conditionalFormatting sqref="B6">
    <cfRule type="expression" dxfId="35" priority="5">
      <formula>$M$5=4</formula>
    </cfRule>
    <cfRule type="expression" dxfId="34" priority="6">
      <formula>$M$5=3</formula>
    </cfRule>
    <cfRule type="expression" dxfId="33" priority="7">
      <formula>$M$5=2</formula>
    </cfRule>
    <cfRule type="expression" dxfId="32" priority="8">
      <formula>$M$5=1</formula>
    </cfRule>
  </conditionalFormatting>
  <conditionalFormatting sqref="B14:U14">
    <cfRule type="expression" dxfId="31" priority="1">
      <formula>$M$5=4</formula>
    </cfRule>
    <cfRule type="expression" dxfId="30" priority="2">
      <formula>$M$5=3</formula>
    </cfRule>
    <cfRule type="expression" dxfId="29" priority="3">
      <formula>$M$5=2</formula>
    </cfRule>
    <cfRule type="expression" dxfId="28" priority="4">
      <formula>$M$5=1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2291-870F-40EB-BCC1-F466A13C7C18}">
  <dimension ref="A1:O40"/>
  <sheetViews>
    <sheetView showGridLines="0" topLeftCell="A6" zoomScale="55" zoomScaleNormal="55" workbookViewId="0">
      <selection activeCell="D8" sqref="D8"/>
    </sheetView>
  </sheetViews>
  <sheetFormatPr defaultColWidth="13.21875" defaultRowHeight="21"/>
  <cols>
    <col min="1" max="1" width="53.77734375" style="11" customWidth="1"/>
    <col min="2" max="2" width="31.109375" style="11" customWidth="1"/>
    <col min="3" max="3" width="16.88671875" style="11" bestFit="1" customWidth="1"/>
    <col min="4" max="4" width="43" style="11" bestFit="1" customWidth="1"/>
    <col min="5" max="5" width="16.88671875" style="11" bestFit="1" customWidth="1"/>
    <col min="6" max="8" width="21.5546875" style="11" bestFit="1" customWidth="1"/>
    <col min="9" max="11" width="16.88671875" style="11" bestFit="1" customWidth="1"/>
    <col min="12" max="12" width="25.44140625" style="11" bestFit="1" customWidth="1"/>
    <col min="13" max="21" width="16.88671875" style="11" bestFit="1" customWidth="1"/>
    <col min="22" max="16384" width="13.21875" style="11"/>
  </cols>
  <sheetData>
    <row r="1" spans="1:15" ht="25.8" customHeight="1">
      <c r="A1" s="147" t="s">
        <v>75</v>
      </c>
      <c r="B1" s="147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spans="1:15">
      <c r="A2" s="147"/>
      <c r="B2" s="147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</row>
    <row r="3" spans="1:15" ht="25.8">
      <c r="A3" s="110" t="s">
        <v>45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72" t="s">
        <v>46</v>
      </c>
      <c r="M3" s="114">
        <v>4</v>
      </c>
      <c r="N3" s="112"/>
      <c r="O3" s="112"/>
    </row>
    <row r="4" spans="1:15" ht="66" customHeight="1">
      <c r="A4" s="72" t="s">
        <v>47</v>
      </c>
      <c r="B4" s="106"/>
      <c r="C4" s="104">
        <v>1</v>
      </c>
      <c r="D4" s="88" t="str">
        <f>IF(C4=1,"Annual Percentage Rate","Effective Annual Rate")</f>
        <v>Annual Percentage Rate</v>
      </c>
      <c r="E4" s="112"/>
      <c r="F4" s="72" t="s">
        <v>48</v>
      </c>
      <c r="G4" s="72" t="str">
        <f>CHOOSE(M3," Chinese Yuan", "Euro", "Indian Rupee", "US Dollar")</f>
        <v>US Dollar</v>
      </c>
      <c r="H4" s="112"/>
      <c r="I4" s="112"/>
      <c r="J4" s="112"/>
      <c r="K4" s="112"/>
      <c r="L4" s="72" t="s">
        <v>49</v>
      </c>
      <c r="M4" s="89">
        <v>9.85</v>
      </c>
      <c r="N4" s="112"/>
      <c r="O4" s="112"/>
    </row>
    <row r="5" spans="1:15" ht="63" customHeight="1">
      <c r="A5" s="72" t="s">
        <v>50</v>
      </c>
      <c r="B5" s="107">
        <f>C5/10000</f>
        <v>5.8000000000000003E-2</v>
      </c>
      <c r="C5" s="104">
        <v>580</v>
      </c>
      <c r="D5" s="112"/>
      <c r="E5" s="112"/>
      <c r="F5" s="72" t="s">
        <v>51</v>
      </c>
      <c r="G5" s="113">
        <f>CHOOSE(M3,M4,M5,M6,M7)</f>
        <v>1</v>
      </c>
      <c r="H5" s="112"/>
      <c r="I5" s="112"/>
      <c r="J5" s="112"/>
      <c r="K5" s="112"/>
      <c r="L5" s="72" t="s">
        <v>52</v>
      </c>
      <c r="M5" s="91">
        <v>0.45</v>
      </c>
      <c r="N5" s="112"/>
      <c r="O5" s="112"/>
    </row>
    <row r="6" spans="1:15" ht="66" customHeight="1">
      <c r="A6" s="72" t="s">
        <v>53</v>
      </c>
      <c r="B6" s="107">
        <f>C6/10000</f>
        <v>0.04</v>
      </c>
      <c r="C6" s="104">
        <v>400</v>
      </c>
      <c r="D6" s="112"/>
      <c r="E6" s="112"/>
      <c r="F6" s="112"/>
      <c r="G6" s="112"/>
      <c r="H6" s="112"/>
      <c r="I6" s="112"/>
      <c r="J6" s="112"/>
      <c r="K6" s="112"/>
      <c r="L6" s="72" t="s">
        <v>54</v>
      </c>
      <c r="M6" s="92">
        <v>55</v>
      </c>
      <c r="N6" s="112"/>
      <c r="O6" s="112"/>
    </row>
    <row r="7" spans="1:15" ht="66" customHeight="1">
      <c r="A7" s="72" t="s">
        <v>55</v>
      </c>
      <c r="B7" s="108">
        <f>C7</f>
        <v>2</v>
      </c>
      <c r="C7" s="104">
        <v>2</v>
      </c>
      <c r="D7" s="112"/>
      <c r="E7" s="112"/>
      <c r="F7" s="112"/>
      <c r="G7" s="112"/>
      <c r="H7" s="112"/>
      <c r="I7" s="112"/>
      <c r="J7" s="112"/>
      <c r="K7" s="112"/>
      <c r="L7" s="72" t="s">
        <v>56</v>
      </c>
      <c r="M7" s="93">
        <v>1</v>
      </c>
      <c r="N7" s="112"/>
      <c r="O7" s="112"/>
    </row>
    <row r="8" spans="1:15" ht="66" customHeight="1">
      <c r="A8" s="72" t="s">
        <v>57</v>
      </c>
      <c r="B8" s="108">
        <f>C8</f>
        <v>10</v>
      </c>
      <c r="C8" s="104">
        <v>10</v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</row>
    <row r="9" spans="1:15" ht="76.95" customHeight="1">
      <c r="A9" s="72" t="s">
        <v>58</v>
      </c>
      <c r="B9" s="108">
        <f>C9*G5</f>
        <v>1000</v>
      </c>
      <c r="C9" s="104">
        <v>1000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</row>
    <row r="10" spans="1:15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</row>
    <row r="11" spans="1:15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</row>
    <row r="12" spans="1:15" ht="25.8">
      <c r="A12" s="94" t="s">
        <v>59</v>
      </c>
      <c r="B12" s="7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</row>
    <row r="13" spans="1:15">
      <c r="A13" s="72" t="s">
        <v>60</v>
      </c>
      <c r="B13" s="95">
        <f>IF(C4=2,((1+B6)^(1/B7))-1,B6/B7)</f>
        <v>0.02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</row>
    <row r="14" spans="1:15">
      <c r="A14" s="72" t="s">
        <v>61</v>
      </c>
      <c r="B14" s="71">
        <f>B5*(B9/B7)</f>
        <v>29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</row>
    <row r="15" spans="1:15">
      <c r="A15" s="72"/>
      <c r="B15" s="7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</row>
    <row r="16" spans="1:15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</row>
    <row r="17" spans="1:15" ht="25.8">
      <c r="A17" s="94" t="s">
        <v>62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112"/>
      <c r="N17" s="112"/>
      <c r="O17" s="112"/>
    </row>
    <row r="18" spans="1:15">
      <c r="A18" s="72" t="s">
        <v>63</v>
      </c>
      <c r="B18" s="72">
        <v>0</v>
      </c>
      <c r="C18" s="72">
        <v>1</v>
      </c>
      <c r="D18" s="72">
        <v>2</v>
      </c>
      <c r="E18" s="72">
        <v>3</v>
      </c>
      <c r="F18" s="72">
        <v>4</v>
      </c>
      <c r="G18" s="72">
        <v>5</v>
      </c>
      <c r="H18" s="72">
        <v>6</v>
      </c>
      <c r="I18" s="72">
        <v>7</v>
      </c>
      <c r="J18" s="72">
        <v>8</v>
      </c>
      <c r="K18" s="72">
        <v>9</v>
      </c>
      <c r="L18" s="72">
        <v>10</v>
      </c>
      <c r="M18" s="112"/>
      <c r="N18" s="112"/>
      <c r="O18" s="112"/>
    </row>
    <row r="19" spans="1:15">
      <c r="A19" s="72" t="s">
        <v>64</v>
      </c>
      <c r="B19" s="72">
        <v>0</v>
      </c>
      <c r="C19" s="72">
        <v>0.5</v>
      </c>
      <c r="D19" s="72">
        <v>1</v>
      </c>
      <c r="E19" s="72">
        <v>1.5</v>
      </c>
      <c r="F19" s="72">
        <v>2</v>
      </c>
      <c r="G19" s="72">
        <v>2.5</v>
      </c>
      <c r="H19" s="72">
        <v>3</v>
      </c>
      <c r="I19" s="72">
        <v>3.5</v>
      </c>
      <c r="J19" s="72">
        <v>4</v>
      </c>
      <c r="K19" s="72">
        <v>4.5</v>
      </c>
      <c r="L19" s="72">
        <v>5</v>
      </c>
      <c r="M19" s="112"/>
      <c r="N19" s="112"/>
      <c r="O19" s="112"/>
    </row>
    <row r="20" spans="1:15">
      <c r="A20" s="72" t="s">
        <v>65</v>
      </c>
      <c r="B20" s="72"/>
      <c r="C20" s="71">
        <f>$B$14</f>
        <v>29</v>
      </c>
      <c r="D20" s="71">
        <f t="shared" ref="D20:K20" si="0">$B$14</f>
        <v>29</v>
      </c>
      <c r="E20" s="71">
        <f t="shared" si="0"/>
        <v>29</v>
      </c>
      <c r="F20" s="71">
        <f t="shared" si="0"/>
        <v>29</v>
      </c>
      <c r="G20" s="71">
        <f t="shared" si="0"/>
        <v>29</v>
      </c>
      <c r="H20" s="71">
        <f t="shared" si="0"/>
        <v>29</v>
      </c>
      <c r="I20" s="71">
        <f t="shared" si="0"/>
        <v>29</v>
      </c>
      <c r="J20" s="71">
        <f>$B$14</f>
        <v>29</v>
      </c>
      <c r="K20" s="71">
        <f t="shared" si="0"/>
        <v>29</v>
      </c>
      <c r="L20" s="71">
        <f>$B$14+B9</f>
        <v>1029</v>
      </c>
      <c r="M20" s="112"/>
      <c r="N20" s="112"/>
      <c r="O20" s="112"/>
    </row>
    <row r="21" spans="1:15">
      <c r="A21" s="72" t="s">
        <v>66</v>
      </c>
      <c r="B21" s="72"/>
      <c r="C21" s="71">
        <f t="shared" ref="C21:L21" si="1">C20/(1+$B$13)^C18</f>
        <v>28.431372549019606</v>
      </c>
      <c r="D21" s="71">
        <f t="shared" si="1"/>
        <v>27.873894655901577</v>
      </c>
      <c r="E21" s="71">
        <f t="shared" si="1"/>
        <v>27.327347701864291</v>
      </c>
      <c r="F21" s="71">
        <f t="shared" si="1"/>
        <v>26.791517354768914</v>
      </c>
      <c r="G21" s="71">
        <f t="shared" si="1"/>
        <v>26.266193485067561</v>
      </c>
      <c r="H21" s="71">
        <f t="shared" si="1"/>
        <v>25.751170083399568</v>
      </c>
      <c r="I21" s="71">
        <f t="shared" si="1"/>
        <v>25.246245179803502</v>
      </c>
      <c r="J21" s="71">
        <f t="shared" si="1"/>
        <v>24.751220764513235</v>
      </c>
      <c r="K21" s="71">
        <f t="shared" si="1"/>
        <v>24.265902710307095</v>
      </c>
      <c r="L21" s="71">
        <f t="shared" si="1"/>
        <v>844.13840057153482</v>
      </c>
      <c r="M21" s="112"/>
      <c r="N21" s="112"/>
      <c r="O21" s="112"/>
    </row>
    <row r="22" spans="1: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112"/>
      <c r="N22" s="112"/>
      <c r="O22" s="112"/>
    </row>
    <row r="23" spans="1:15">
      <c r="A23" s="72" t="s">
        <v>41</v>
      </c>
      <c r="B23" s="138">
        <f>SUM(C21:L21)</f>
        <v>1080.8432650561801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</row>
    <row r="24" spans="1:15">
      <c r="A24" s="72"/>
      <c r="B24" s="7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</row>
    <row r="25" spans="1:15" ht="25.8">
      <c r="A25" s="94" t="s">
        <v>67</v>
      </c>
      <c r="B25" s="7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</row>
    <row r="26" spans="1:15">
      <c r="A26" s="72" t="s">
        <v>68</v>
      </c>
      <c r="B26" s="138">
        <f>B14*(1-((1+B13)^(-B8)))/B13 + B9/(1+B13)^B8</f>
        <v>1080.8432650561799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</row>
    <row r="27" spans="1:15">
      <c r="A27" s="72"/>
      <c r="B27" s="7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</row>
    <row r="28" spans="1:15" ht="25.8">
      <c r="A28" s="94" t="s">
        <v>69</v>
      </c>
      <c r="B28" s="7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</row>
    <row r="29" spans="1:15">
      <c r="A29" s="72" t="s">
        <v>68</v>
      </c>
      <c r="B29" s="139">
        <f>-PV(B13,B8,C20,B9)</f>
        <v>1080.8432650561801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</row>
    <row r="30" spans="1:15">
      <c r="A30" s="72"/>
      <c r="B30" s="7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</row>
    <row r="31" spans="1:15" ht="25.8">
      <c r="A31" s="94" t="s">
        <v>70</v>
      </c>
      <c r="B31" s="7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</row>
    <row r="32" spans="1:15">
      <c r="A32" s="72" t="s">
        <v>68</v>
      </c>
      <c r="B32" s="139">
        <f>IF(C4=2,"",PRICE(DATE(2000,1,1),DATE(2000+(B8/B7),1,1),B5,B6,100,B7)*B9/100)</f>
        <v>1080.8432650561801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</row>
    <row r="33" spans="1:15">
      <c r="A33" s="72"/>
      <c r="B33" s="7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</row>
    <row r="34" spans="1:15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</row>
    <row r="35" spans="1:1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</row>
    <row r="36" spans="1:15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</row>
    <row r="37" spans="1:15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</row>
    <row r="38" spans="1:15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</row>
    <row r="39" spans="1:15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</row>
    <row r="40" spans="1:15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</row>
  </sheetData>
  <mergeCells count="1">
    <mergeCell ref="A1:B2"/>
  </mergeCells>
  <conditionalFormatting sqref="B9 B14 C20:L21 B23 B26 B29">
    <cfRule type="expression" dxfId="27" priority="5">
      <formula>$M$3=4</formula>
    </cfRule>
    <cfRule type="expression" dxfId="26" priority="6">
      <formula>$M$3=3</formula>
    </cfRule>
    <cfRule type="expression" dxfId="25" priority="7">
      <formula>$M$3=2</formula>
    </cfRule>
    <cfRule type="expression" dxfId="24" priority="8">
      <formula>$M$3=1</formula>
    </cfRule>
  </conditionalFormatting>
  <conditionalFormatting sqref="B9">
    <cfRule type="expression" dxfId="23" priority="9">
      <formula>$B$9</formula>
    </cfRule>
    <cfRule type="expression" dxfId="22" priority="10">
      <formula>$B$29</formula>
    </cfRule>
  </conditionalFormatting>
  <conditionalFormatting sqref="B32">
    <cfRule type="expression" dxfId="21" priority="1">
      <formula>$M$3=4</formula>
    </cfRule>
    <cfRule type="expression" dxfId="20" priority="2">
      <formula>$M$3=3</formula>
    </cfRule>
    <cfRule type="expression" dxfId="19" priority="3">
      <formula>$M$3=2</formula>
    </cfRule>
    <cfRule type="expression" dxfId="18" priority="4">
      <formula>$M$3=1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pinner 1">
              <controlPr defaultSize="0" autoPict="0">
                <anchor moveWithCells="1" sizeWithCells="1">
                  <from>
                    <xdr:col>1</xdr:col>
                    <xdr:colOff>6118860</xdr:colOff>
                    <xdr:row>4</xdr:row>
                    <xdr:rowOff>137160</xdr:rowOff>
                  </from>
                  <to>
                    <xdr:col>1</xdr:col>
                    <xdr:colOff>6804660</xdr:colOff>
                    <xdr:row>4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Spinner 2">
              <controlPr defaultSize="0" autoPict="0">
                <anchor moveWithCells="1" sizeWithCells="1">
                  <from>
                    <xdr:col>1</xdr:col>
                    <xdr:colOff>6118860</xdr:colOff>
                    <xdr:row>5</xdr:row>
                    <xdr:rowOff>137160</xdr:rowOff>
                  </from>
                  <to>
                    <xdr:col>1</xdr:col>
                    <xdr:colOff>6804660</xdr:colOff>
                    <xdr:row>5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Spinner 3">
              <controlPr defaultSize="0" autoPict="0">
                <anchor moveWithCells="1" sizeWithCells="1">
                  <from>
                    <xdr:col>1</xdr:col>
                    <xdr:colOff>6118860</xdr:colOff>
                    <xdr:row>6</xdr:row>
                    <xdr:rowOff>137160</xdr:rowOff>
                  </from>
                  <to>
                    <xdr:col>1</xdr:col>
                    <xdr:colOff>6804660</xdr:colOff>
                    <xdr:row>6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Spinner 4">
              <controlPr defaultSize="0" autoPict="0">
                <anchor moveWithCells="1" sizeWithCells="1">
                  <from>
                    <xdr:col>1</xdr:col>
                    <xdr:colOff>6118860</xdr:colOff>
                    <xdr:row>7</xdr:row>
                    <xdr:rowOff>137160</xdr:rowOff>
                  </from>
                  <to>
                    <xdr:col>1</xdr:col>
                    <xdr:colOff>6804660</xdr:colOff>
                    <xdr:row>7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7" name="Spinner 5">
              <controlPr defaultSize="0" autoPict="0">
                <anchor moveWithCells="1" sizeWithCells="1">
                  <from>
                    <xdr:col>1</xdr:col>
                    <xdr:colOff>6118860</xdr:colOff>
                    <xdr:row>8</xdr:row>
                    <xdr:rowOff>137160</xdr:rowOff>
                  </from>
                  <to>
                    <xdr:col>1</xdr:col>
                    <xdr:colOff>6804660</xdr:colOff>
                    <xdr:row>8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Option Button 6">
              <controlPr defaultSize="0" autoFill="0" autoLine="0" autoPict="0">
                <anchor moveWithCells="1">
                  <from>
                    <xdr:col>1</xdr:col>
                    <xdr:colOff>152400</xdr:colOff>
                    <xdr:row>0</xdr:row>
                    <xdr:rowOff>144780</xdr:rowOff>
                  </from>
                  <to>
                    <xdr:col>1</xdr:col>
                    <xdr:colOff>701040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Option Button 7">
              <controlPr defaultSize="0" autoFill="0" autoLine="0" autoPict="0">
                <anchor moveWithCells="1">
                  <from>
                    <xdr:col>1</xdr:col>
                    <xdr:colOff>906780</xdr:colOff>
                    <xdr:row>0</xdr:row>
                    <xdr:rowOff>114300</xdr:rowOff>
                  </from>
                  <to>
                    <xdr:col>1</xdr:col>
                    <xdr:colOff>1927860</xdr:colOff>
                    <xdr:row>5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CFAC-94A1-4487-AF99-7F52180EA42B}">
  <dimension ref="A1:U49"/>
  <sheetViews>
    <sheetView showGridLines="0" tabSelected="1" zoomScale="55" zoomScaleNormal="55" workbookViewId="0">
      <selection activeCell="A4" sqref="A4"/>
    </sheetView>
  </sheetViews>
  <sheetFormatPr defaultColWidth="13.21875" defaultRowHeight="21"/>
  <cols>
    <col min="1" max="1" width="109.33203125" style="11" bestFit="1" customWidth="1"/>
    <col min="2" max="2" width="31.109375" style="11" customWidth="1"/>
    <col min="3" max="3" width="16.88671875" style="11" bestFit="1" customWidth="1"/>
    <col min="4" max="4" width="43" style="11" bestFit="1" customWidth="1"/>
    <col min="5" max="5" width="16.88671875" style="11" bestFit="1" customWidth="1"/>
    <col min="6" max="8" width="21.5546875" style="11" bestFit="1" customWidth="1"/>
    <col min="9" max="11" width="16.88671875" style="11" bestFit="1" customWidth="1"/>
    <col min="12" max="12" width="25.44140625" style="11" bestFit="1" customWidth="1"/>
    <col min="13" max="21" width="16.88671875" style="11" bestFit="1" customWidth="1"/>
    <col min="22" max="16384" width="13.21875" style="11"/>
  </cols>
  <sheetData>
    <row r="1" spans="1:13" ht="25.8" customHeight="1">
      <c r="A1" s="161" t="s">
        <v>76</v>
      </c>
      <c r="B1" s="161"/>
    </row>
    <row r="2" spans="1:13">
      <c r="A2" s="162"/>
      <c r="B2" s="162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25.8">
      <c r="A3" s="115" t="s">
        <v>45</v>
      </c>
      <c r="B3" s="116"/>
      <c r="C3" s="74"/>
      <c r="D3" s="74"/>
      <c r="E3" s="74"/>
      <c r="F3" s="74"/>
      <c r="G3" s="74"/>
      <c r="H3" s="74"/>
      <c r="I3" s="74"/>
      <c r="J3" s="74"/>
      <c r="K3" s="74"/>
      <c r="L3" s="74" t="s">
        <v>46</v>
      </c>
      <c r="M3" s="117">
        <v>4</v>
      </c>
    </row>
    <row r="4" spans="1:13" ht="66" customHeight="1">
      <c r="A4" s="118" t="s">
        <v>47</v>
      </c>
      <c r="B4" s="119"/>
      <c r="C4" s="120">
        <v>2</v>
      </c>
      <c r="D4" s="121" t="str">
        <f>IF(C4=1,"Annual Percentage Rate","Effective Annual Rate")</f>
        <v>Effective Annual Rate</v>
      </c>
      <c r="E4" s="74"/>
      <c r="F4" s="118" t="s">
        <v>77</v>
      </c>
      <c r="G4" s="76" t="str">
        <f>CHOOSE(M3," Chinese Yuan", "Euro", "Indian Rupee", "US Dollar")</f>
        <v>US Dollar</v>
      </c>
      <c r="H4" s="74"/>
      <c r="I4" s="74"/>
      <c r="J4" s="74"/>
      <c r="K4" s="74"/>
      <c r="L4" s="76" t="s">
        <v>49</v>
      </c>
      <c r="M4" s="122">
        <v>9.85</v>
      </c>
    </row>
    <row r="5" spans="1:13" ht="63" customHeight="1">
      <c r="A5" s="118" t="s">
        <v>50</v>
      </c>
      <c r="B5" s="107">
        <f>C5/10000</f>
        <v>4.4999999999999998E-2</v>
      </c>
      <c r="C5" s="120">
        <v>450</v>
      </c>
      <c r="D5" s="74"/>
      <c r="E5" s="74"/>
      <c r="F5" s="118" t="s">
        <v>78</v>
      </c>
      <c r="G5" s="123">
        <f>CHOOSE(M3,M4,M5,M6,M7)</f>
        <v>1</v>
      </c>
      <c r="H5" s="74"/>
      <c r="I5" s="74"/>
      <c r="J5" s="74"/>
      <c r="K5" s="74"/>
      <c r="L5" s="76" t="s">
        <v>52</v>
      </c>
      <c r="M5" s="124">
        <v>0.45</v>
      </c>
    </row>
    <row r="6" spans="1:13" ht="66" customHeight="1">
      <c r="A6" s="118" t="s">
        <v>53</v>
      </c>
      <c r="B6" s="107">
        <f>C6/10000</f>
        <v>3.5000000000000003E-2</v>
      </c>
      <c r="C6" s="120">
        <v>350</v>
      </c>
      <c r="D6" s="74"/>
      <c r="E6" s="74"/>
      <c r="F6" s="74"/>
      <c r="G6" s="74"/>
      <c r="H6" s="74"/>
      <c r="I6" s="74"/>
      <c r="J6" s="74"/>
      <c r="K6" s="74"/>
      <c r="L6" s="76" t="s">
        <v>54</v>
      </c>
      <c r="M6" s="125">
        <v>87.5</v>
      </c>
    </row>
    <row r="7" spans="1:13" ht="66" customHeight="1">
      <c r="A7" s="118" t="s">
        <v>55</v>
      </c>
      <c r="B7" s="108">
        <f>C7</f>
        <v>2</v>
      </c>
      <c r="C7" s="120">
        <v>2</v>
      </c>
      <c r="D7" s="74"/>
      <c r="E7" s="74"/>
      <c r="F7" s="74"/>
      <c r="G7" s="74"/>
      <c r="H7" s="74"/>
      <c r="I7" s="74"/>
      <c r="J7" s="74"/>
      <c r="K7" s="74"/>
      <c r="L7" s="76" t="s">
        <v>56</v>
      </c>
      <c r="M7" s="126">
        <v>1</v>
      </c>
    </row>
    <row r="8" spans="1:13" ht="66" customHeight="1">
      <c r="A8" s="118" t="s">
        <v>57</v>
      </c>
      <c r="B8" s="108">
        <f>C8</f>
        <v>12</v>
      </c>
      <c r="C8" s="120">
        <v>12</v>
      </c>
      <c r="D8" s="74"/>
      <c r="E8" s="74"/>
      <c r="F8" s="74"/>
      <c r="G8" s="74"/>
      <c r="H8" s="74"/>
      <c r="I8" s="74"/>
      <c r="J8" s="74"/>
      <c r="K8" s="74"/>
      <c r="L8" s="74"/>
      <c r="M8" s="74"/>
    </row>
    <row r="9" spans="1:13" ht="76.95" customHeight="1">
      <c r="A9" s="118" t="s">
        <v>58</v>
      </c>
      <c r="B9" s="108">
        <f>C9*G5</f>
        <v>1000</v>
      </c>
      <c r="C9" s="120">
        <v>1000</v>
      </c>
      <c r="D9" s="74"/>
      <c r="E9" s="74"/>
      <c r="F9" s="74"/>
      <c r="G9" s="74"/>
      <c r="H9" s="74"/>
      <c r="I9" s="74"/>
      <c r="J9" s="74"/>
      <c r="K9" s="74"/>
      <c r="L9" s="74"/>
      <c r="M9" s="74"/>
    </row>
    <row r="10" spans="1:1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</row>
    <row r="11" spans="1:13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</row>
    <row r="12" spans="1:13" ht="25.8">
      <c r="A12" s="127" t="s">
        <v>59</v>
      </c>
      <c r="B12" s="76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</row>
    <row r="13" spans="1:13">
      <c r="A13" s="76" t="s">
        <v>60</v>
      </c>
      <c r="B13" s="128">
        <f>IF(C4=2,((1+B6)^(1/B7))-1,B6/B7)</f>
        <v>1.734949746879022E-2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</row>
    <row r="14" spans="1:13">
      <c r="A14" s="76" t="s">
        <v>61</v>
      </c>
      <c r="B14" s="75">
        <f>B5*(B9/B7)</f>
        <v>22.5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</row>
    <row r="15" spans="1:1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</row>
    <row r="16" spans="1:13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</row>
    <row r="17" spans="1:13" ht="25.8">
      <c r="A17" s="127" t="s">
        <v>62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</row>
    <row r="18" spans="1:13">
      <c r="A18" s="76" t="s">
        <v>63</v>
      </c>
      <c r="B18" s="76">
        <v>0</v>
      </c>
      <c r="C18" s="76">
        <v>1</v>
      </c>
      <c r="D18" s="76">
        <v>2</v>
      </c>
      <c r="E18" s="76">
        <v>3</v>
      </c>
      <c r="F18" s="76">
        <v>4</v>
      </c>
      <c r="G18" s="76">
        <v>5</v>
      </c>
      <c r="H18" s="76">
        <v>6</v>
      </c>
      <c r="I18" s="76">
        <v>7</v>
      </c>
      <c r="J18" s="76">
        <v>8</v>
      </c>
      <c r="K18" s="76">
        <v>9</v>
      </c>
      <c r="L18" s="76">
        <v>10</v>
      </c>
      <c r="M18" s="74"/>
    </row>
    <row r="19" spans="1:13">
      <c r="A19" s="76" t="s">
        <v>64</v>
      </c>
      <c r="B19" s="76">
        <v>0</v>
      </c>
      <c r="C19" s="76">
        <v>0.5</v>
      </c>
      <c r="D19" s="76">
        <v>1</v>
      </c>
      <c r="E19" s="76">
        <v>1.5</v>
      </c>
      <c r="F19" s="76">
        <v>2</v>
      </c>
      <c r="G19" s="76">
        <v>2.5</v>
      </c>
      <c r="H19" s="76">
        <v>3</v>
      </c>
      <c r="I19" s="76">
        <v>3.5</v>
      </c>
      <c r="J19" s="76">
        <v>4</v>
      </c>
      <c r="K19" s="76">
        <v>4.5</v>
      </c>
      <c r="L19" s="76">
        <v>5</v>
      </c>
      <c r="M19" s="74"/>
    </row>
    <row r="20" spans="1:13">
      <c r="A20" s="76" t="s">
        <v>65</v>
      </c>
      <c r="B20" s="76"/>
      <c r="C20" s="75">
        <f>$B$14</f>
        <v>22.5</v>
      </c>
      <c r="D20" s="75">
        <f t="shared" ref="D20:K20" si="0">$B$14</f>
        <v>22.5</v>
      </c>
      <c r="E20" s="75">
        <f t="shared" si="0"/>
        <v>22.5</v>
      </c>
      <c r="F20" s="75">
        <f t="shared" si="0"/>
        <v>22.5</v>
      </c>
      <c r="G20" s="75">
        <f t="shared" si="0"/>
        <v>22.5</v>
      </c>
      <c r="H20" s="75">
        <f t="shared" si="0"/>
        <v>22.5</v>
      </c>
      <c r="I20" s="75">
        <f t="shared" si="0"/>
        <v>22.5</v>
      </c>
      <c r="J20" s="75">
        <f>$B$14</f>
        <v>22.5</v>
      </c>
      <c r="K20" s="75">
        <f t="shared" si="0"/>
        <v>22.5</v>
      </c>
      <c r="L20" s="75">
        <f>$B$14+B9</f>
        <v>1022.5</v>
      </c>
      <c r="M20" s="74"/>
    </row>
    <row r="21" spans="1:13">
      <c r="A21" s="76" t="s">
        <v>66</v>
      </c>
      <c r="B21" s="76"/>
      <c r="C21" s="75">
        <f>C20/((1+$B$13)^(C18))</f>
        <v>22.11629342323457</v>
      </c>
      <c r="D21" s="75">
        <f t="shared" ref="D21:L21" si="1">D20/((1+$B$13)^(D18))</f>
        <v>21.739130434782609</v>
      </c>
      <c r="E21" s="75">
        <f t="shared" si="1"/>
        <v>21.368399442738717</v>
      </c>
      <c r="F21" s="75">
        <f t="shared" si="1"/>
        <v>21.003990758244068</v>
      </c>
      <c r="G21" s="75">
        <f t="shared" si="1"/>
        <v>20.645796563032576</v>
      </c>
      <c r="H21" s="75">
        <f t="shared" si="1"/>
        <v>20.293710877530504</v>
      </c>
      <c r="I21" s="75">
        <f t="shared" si="1"/>
        <v>19.947629529500077</v>
      </c>
      <c r="J21" s="75">
        <f t="shared" si="1"/>
        <v>19.60745012321788</v>
      </c>
      <c r="K21" s="75">
        <f t="shared" si="1"/>
        <v>19.273072009178819</v>
      </c>
      <c r="L21" s="75">
        <f t="shared" si="1"/>
        <v>860.91756311284098</v>
      </c>
      <c r="M21" s="74"/>
    </row>
    <row r="22" spans="1:13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</row>
    <row r="23" spans="1:13">
      <c r="A23" s="76" t="s">
        <v>41</v>
      </c>
      <c r="B23" s="138">
        <f>SUM(C21:L21)</f>
        <v>1046.9130362743008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1:13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</row>
    <row r="25" spans="1:13" ht="25.8">
      <c r="A25" s="127" t="s">
        <v>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</row>
    <row r="26" spans="1:13">
      <c r="A26" s="76" t="s">
        <v>68</v>
      </c>
      <c r="B26" s="138">
        <f>B14*(1-((1+B13)^(-B8)))/B13 + B9/(1+B13)^B8</f>
        <v>1055.3656038331865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</row>
    <row r="27" spans="1:13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</row>
    <row r="28" spans="1:13" ht="25.8">
      <c r="A28" s="129" t="s">
        <v>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</row>
    <row r="29" spans="1:13">
      <c r="A29" s="76" t="s">
        <v>68</v>
      </c>
      <c r="B29" s="139">
        <f>-PV(B13,B8,B14,B9)</f>
        <v>1055.3656038331867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spans="1:13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spans="1:13" ht="25.8">
      <c r="A31" s="129" t="s">
        <v>70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</row>
    <row r="32" spans="1:13">
      <c r="A32" s="76" t="s">
        <v>68</v>
      </c>
      <c r="B32" s="139" t="str">
        <f>IF(C4=2,"",PRICE(DATE(2000,1,1),DATE(2000+(B8/B7),1,1),B5,B6,100,B7)*B9/100)</f>
        <v/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</row>
    <row r="33" spans="1:2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</row>
    <row r="34" spans="1:21">
      <c r="A34" s="74"/>
      <c r="B34" s="74"/>
      <c r="C34" s="74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20"/>
      <c r="O34" s="20"/>
      <c r="P34" s="20"/>
      <c r="Q34" s="20"/>
      <c r="R34" s="20"/>
      <c r="S34" s="20"/>
      <c r="T34" s="20"/>
      <c r="U34" s="20"/>
    </row>
    <row r="35" spans="1:21" ht="25.8">
      <c r="A35" s="129" t="s">
        <v>79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</row>
    <row r="36" spans="1:21">
      <c r="A36" s="76" t="s">
        <v>63</v>
      </c>
      <c r="B36" s="76">
        <v>0</v>
      </c>
      <c r="C36" s="76">
        <v>1</v>
      </c>
      <c r="D36" s="76">
        <v>2</v>
      </c>
      <c r="E36" s="76">
        <v>3</v>
      </c>
      <c r="F36" s="76">
        <v>4</v>
      </c>
      <c r="G36" s="76">
        <v>5</v>
      </c>
      <c r="H36" s="76">
        <v>6</v>
      </c>
      <c r="I36" s="76">
        <v>7</v>
      </c>
      <c r="J36" s="76">
        <v>8</v>
      </c>
      <c r="K36" s="76">
        <v>9</v>
      </c>
      <c r="L36" s="76">
        <v>10</v>
      </c>
      <c r="M36" s="74"/>
    </row>
    <row r="37" spans="1:21">
      <c r="A37" s="76" t="s">
        <v>64</v>
      </c>
      <c r="B37" s="131">
        <v>0</v>
      </c>
      <c r="C37" s="76">
        <v>0.5</v>
      </c>
      <c r="D37" s="76">
        <v>1</v>
      </c>
      <c r="E37" s="76">
        <v>1.5</v>
      </c>
      <c r="F37" s="76">
        <v>2</v>
      </c>
      <c r="G37" s="76">
        <v>2.5</v>
      </c>
      <c r="H37" s="76">
        <v>3</v>
      </c>
      <c r="I37" s="76">
        <v>3.5</v>
      </c>
      <c r="J37" s="76">
        <v>4</v>
      </c>
      <c r="K37" s="131">
        <v>4.5</v>
      </c>
      <c r="L37" s="76">
        <v>5</v>
      </c>
      <c r="M37" s="74"/>
    </row>
    <row r="38" spans="1:21">
      <c r="A38" s="76" t="s">
        <v>65</v>
      </c>
      <c r="B38" s="76"/>
      <c r="C38" s="75">
        <f>$B$14</f>
        <v>22.5</v>
      </c>
      <c r="D38" s="75">
        <f t="shared" ref="D38:I38" si="2">$B$14</f>
        <v>22.5</v>
      </c>
      <c r="E38" s="75">
        <f t="shared" si="2"/>
        <v>22.5</v>
      </c>
      <c r="F38" s="75">
        <f t="shared" si="2"/>
        <v>22.5</v>
      </c>
      <c r="G38" s="75">
        <f t="shared" si="2"/>
        <v>22.5</v>
      </c>
      <c r="H38" s="75">
        <f t="shared" si="2"/>
        <v>22.5</v>
      </c>
      <c r="I38" s="75">
        <f t="shared" si="2"/>
        <v>22.5</v>
      </c>
      <c r="J38" s="75">
        <v>29</v>
      </c>
      <c r="K38" s="75">
        <v>29</v>
      </c>
      <c r="L38" s="75">
        <f>$B$14+B9</f>
        <v>1022.5</v>
      </c>
      <c r="M38" s="74"/>
    </row>
    <row r="39" spans="1:21">
      <c r="A39" s="76" t="s">
        <v>66</v>
      </c>
      <c r="B39" s="76"/>
      <c r="C39" s="75">
        <f>C38/(1+$B$13)^C36</f>
        <v>22.11629342323457</v>
      </c>
      <c r="D39" s="75">
        <f t="shared" ref="D39:I39" si="3">D38/(1+$B$13)^D36</f>
        <v>21.739130434782609</v>
      </c>
      <c r="E39" s="75">
        <f t="shared" si="3"/>
        <v>21.368399442738717</v>
      </c>
      <c r="F39" s="75">
        <f t="shared" si="3"/>
        <v>21.003990758244068</v>
      </c>
      <c r="G39" s="75">
        <f t="shared" si="3"/>
        <v>20.645796563032576</v>
      </c>
      <c r="H39" s="75">
        <f t="shared" si="3"/>
        <v>20.293710877530504</v>
      </c>
      <c r="I39" s="75">
        <f t="shared" si="3"/>
        <v>19.947629529500077</v>
      </c>
      <c r="J39" s="75">
        <f>J38/(1+$B$13)^J36</f>
        <v>25.271824603258601</v>
      </c>
      <c r="K39" s="75">
        <f>K38/(1+$B$13)^K36</f>
        <v>24.840848367386034</v>
      </c>
      <c r="L39" s="75">
        <f>L38/(1+$B$13)^L36</f>
        <v>860.91756311284098</v>
      </c>
      <c r="M39" s="74"/>
    </row>
    <row r="40" spans="1:21" ht="23.4">
      <c r="A40" s="132" t="s">
        <v>41</v>
      </c>
      <c r="B40" s="133">
        <f>SUM(C39:L39)</f>
        <v>1058.1451871125487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</row>
    <row r="41" spans="1:21">
      <c r="A41" s="76" t="s">
        <v>80</v>
      </c>
      <c r="B41" s="76"/>
      <c r="C41" s="134">
        <f t="shared" ref="C41:L41" si="4">C39/$B$40</f>
        <v>2.0901000819731733E-2</v>
      </c>
      <c r="D41" s="134">
        <f t="shared" si="4"/>
        <v>2.0544562976375705E-2</v>
      </c>
      <c r="E41" s="134">
        <f t="shared" si="4"/>
        <v>2.0194203690562063E-2</v>
      </c>
      <c r="F41" s="134">
        <f t="shared" si="4"/>
        <v>1.9849819300846092E-2</v>
      </c>
      <c r="G41" s="134">
        <f t="shared" si="4"/>
        <v>1.9511307913586535E-2</v>
      </c>
      <c r="H41" s="134">
        <f t="shared" si="4"/>
        <v>1.917856937279816E-2</v>
      </c>
      <c r="I41" s="134">
        <f t="shared" si="4"/>
        <v>1.8851505230518394E-2</v>
      </c>
      <c r="J41" s="134">
        <f t="shared" si="4"/>
        <v>2.3883135236120092E-2</v>
      </c>
      <c r="K41" s="134">
        <f t="shared" si="4"/>
        <v>2.3475841188836648E-2</v>
      </c>
      <c r="L41" s="134">
        <f t="shared" si="4"/>
        <v>0.81361005427062461</v>
      </c>
      <c r="M41" s="74"/>
    </row>
    <row r="42" spans="1:21">
      <c r="A42" s="76" t="s">
        <v>81</v>
      </c>
      <c r="B42" s="76"/>
      <c r="C42" s="76">
        <f>C41*C37</f>
        <v>1.0450500409865867E-2</v>
      </c>
      <c r="D42" s="76">
        <f t="shared" ref="D42:L42" si="5">D41*D37</f>
        <v>2.0544562976375705E-2</v>
      </c>
      <c r="E42" s="76">
        <f t="shared" si="5"/>
        <v>3.0291305535843097E-2</v>
      </c>
      <c r="F42" s="76">
        <f>F41*F37</f>
        <v>3.9699638601692185E-2</v>
      </c>
      <c r="G42" s="76">
        <f t="shared" si="5"/>
        <v>4.8778269783966335E-2</v>
      </c>
      <c r="H42" s="76">
        <f t="shared" si="5"/>
        <v>5.753570811839448E-2</v>
      </c>
      <c r="I42" s="76">
        <f t="shared" si="5"/>
        <v>6.5980268306814374E-2</v>
      </c>
      <c r="J42" s="76">
        <f t="shared" si="5"/>
        <v>9.5532540944480368E-2</v>
      </c>
      <c r="K42" s="76">
        <f>K41*K37</f>
        <v>0.10564128534976491</v>
      </c>
      <c r="L42" s="76">
        <f t="shared" si="5"/>
        <v>4.0680502713531226</v>
      </c>
      <c r="M42" s="74"/>
    </row>
    <row r="43" spans="1:21" ht="23.4">
      <c r="A43" s="135" t="s">
        <v>82</v>
      </c>
      <c r="B43" s="168">
        <f>SUM(C42:L42)</f>
        <v>4.5425043513803196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</row>
    <row r="44" spans="1:21" ht="23.4">
      <c r="A44" s="135" t="s">
        <v>83</v>
      </c>
      <c r="B44" s="168">
        <f>B43/(1+$B$13)</f>
        <v>4.4650381827309769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</row>
    <row r="45" spans="1:2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</row>
    <row r="46" spans="1:21" ht="23.4">
      <c r="A46" s="136" t="s">
        <v>84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</row>
    <row r="47" spans="1:21">
      <c r="A47" s="76" t="s">
        <v>85</v>
      </c>
      <c r="B47" s="76"/>
      <c r="C47" s="137">
        <f>C41*((C37)^2 + C37)</f>
        <v>1.5675750614798801E-2</v>
      </c>
      <c r="D47" s="137">
        <f t="shared" ref="D47:L47" si="6">D41*((D37)^2 + D37)</f>
        <v>4.108912595275141E-2</v>
      </c>
      <c r="E47" s="137">
        <f t="shared" si="6"/>
        <v>7.5728263839607735E-2</v>
      </c>
      <c r="F47" s="137">
        <f t="shared" si="6"/>
        <v>0.11909891580507656</v>
      </c>
      <c r="G47" s="137">
        <f t="shared" si="6"/>
        <v>0.17072394424388218</v>
      </c>
      <c r="H47" s="137">
        <f t="shared" si="6"/>
        <v>0.23014283247357792</v>
      </c>
      <c r="I47" s="137">
        <f t="shared" si="6"/>
        <v>0.29691120738066468</v>
      </c>
      <c r="J47" s="137">
        <f t="shared" si="6"/>
        <v>0.47766270472240185</v>
      </c>
      <c r="K47" s="137">
        <f>K41*((K37)^2 + K37)</f>
        <v>0.58102706942370708</v>
      </c>
      <c r="L47" s="137">
        <f t="shared" si="6"/>
        <v>24.408301628118739</v>
      </c>
      <c r="M47" s="74"/>
    </row>
    <row r="48" spans="1:21" ht="23.4">
      <c r="A48" s="135" t="s">
        <v>86</v>
      </c>
      <c r="B48" s="168">
        <f>SUM(C47:L47)/((1+B6/B7)^2)</f>
        <v>25.515504656303587</v>
      </c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</row>
    <row r="49" spans="1:13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</row>
  </sheetData>
  <mergeCells count="1">
    <mergeCell ref="A1:B2"/>
  </mergeCells>
  <conditionalFormatting sqref="B9 B14 B23 B26 B29 C20:L21">
    <cfRule type="expression" dxfId="17" priority="13">
      <formula>$M$3=4</formula>
    </cfRule>
    <cfRule type="expression" dxfId="16" priority="14">
      <formula>$M$3=3</formula>
    </cfRule>
    <cfRule type="expression" dxfId="15" priority="15">
      <formula>$M$3=2</formula>
    </cfRule>
    <cfRule type="expression" dxfId="14" priority="16">
      <formula>$M$3=1</formula>
    </cfRule>
  </conditionalFormatting>
  <conditionalFormatting sqref="B9">
    <cfRule type="expression" dxfId="13" priority="17">
      <formula>$B$9</formula>
    </cfRule>
    <cfRule type="expression" dxfId="12" priority="18">
      <formula>$B$29</formula>
    </cfRule>
  </conditionalFormatting>
  <conditionalFormatting sqref="B32">
    <cfRule type="expression" dxfId="11" priority="1">
      <formula>$M$3=4</formula>
    </cfRule>
    <cfRule type="expression" dxfId="10" priority="2">
      <formula>$M$3=3</formula>
    </cfRule>
    <cfRule type="expression" dxfId="9" priority="3">
      <formula>$M$3=2</formula>
    </cfRule>
    <cfRule type="expression" dxfId="8" priority="4">
      <formula>$M$3=1</formula>
    </cfRule>
  </conditionalFormatting>
  <conditionalFormatting sqref="B40">
    <cfRule type="expression" dxfId="7" priority="5">
      <formula>$M$3=4</formula>
    </cfRule>
    <cfRule type="expression" dxfId="6" priority="6">
      <formula>$M$3=3</formula>
    </cfRule>
    <cfRule type="expression" dxfId="5" priority="7">
      <formula>$M$3=2</formula>
    </cfRule>
    <cfRule type="expression" dxfId="4" priority="8">
      <formula>$M$3=1</formula>
    </cfRule>
  </conditionalFormatting>
  <conditionalFormatting sqref="C38:J39 L38:L39 K39">
    <cfRule type="expression" dxfId="3" priority="9">
      <formula>$M$3=4</formula>
    </cfRule>
    <cfRule type="expression" dxfId="2" priority="10">
      <formula>$M$3=3</formula>
    </cfRule>
    <cfRule type="expression" dxfId="1" priority="11">
      <formula>$M$3=2</formula>
    </cfRule>
    <cfRule type="expression" dxfId="0" priority="12">
      <formula>$M$3=1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pinner 1">
              <controlPr defaultSize="0" autoPict="0">
                <anchor moveWithCells="1" sizeWithCells="1">
                  <from>
                    <xdr:col>1</xdr:col>
                    <xdr:colOff>6118860</xdr:colOff>
                    <xdr:row>4</xdr:row>
                    <xdr:rowOff>137160</xdr:rowOff>
                  </from>
                  <to>
                    <xdr:col>1</xdr:col>
                    <xdr:colOff>6804660</xdr:colOff>
                    <xdr:row>4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Spinner 2">
              <controlPr defaultSize="0" autoPict="0">
                <anchor moveWithCells="1" sizeWithCells="1">
                  <from>
                    <xdr:col>1</xdr:col>
                    <xdr:colOff>6118860</xdr:colOff>
                    <xdr:row>5</xdr:row>
                    <xdr:rowOff>137160</xdr:rowOff>
                  </from>
                  <to>
                    <xdr:col>1</xdr:col>
                    <xdr:colOff>6804660</xdr:colOff>
                    <xdr:row>5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Spinner 3">
              <controlPr defaultSize="0" autoPict="0">
                <anchor moveWithCells="1" sizeWithCells="1">
                  <from>
                    <xdr:col>1</xdr:col>
                    <xdr:colOff>6118860</xdr:colOff>
                    <xdr:row>6</xdr:row>
                    <xdr:rowOff>137160</xdr:rowOff>
                  </from>
                  <to>
                    <xdr:col>1</xdr:col>
                    <xdr:colOff>6804660</xdr:colOff>
                    <xdr:row>6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Spinner 4">
              <controlPr defaultSize="0" autoPict="0">
                <anchor moveWithCells="1" sizeWithCells="1">
                  <from>
                    <xdr:col>1</xdr:col>
                    <xdr:colOff>6118860</xdr:colOff>
                    <xdr:row>7</xdr:row>
                    <xdr:rowOff>137160</xdr:rowOff>
                  </from>
                  <to>
                    <xdr:col>1</xdr:col>
                    <xdr:colOff>6804660</xdr:colOff>
                    <xdr:row>7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Spinner 5">
              <controlPr defaultSize="0" autoPict="0">
                <anchor moveWithCells="1" sizeWithCells="1">
                  <from>
                    <xdr:col>1</xdr:col>
                    <xdr:colOff>6118860</xdr:colOff>
                    <xdr:row>8</xdr:row>
                    <xdr:rowOff>137160</xdr:rowOff>
                  </from>
                  <to>
                    <xdr:col>1</xdr:col>
                    <xdr:colOff>6804660</xdr:colOff>
                    <xdr:row>8</xdr:row>
                    <xdr:rowOff>708660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Option Button 6">
              <controlPr defaultSize="0" autoFill="0" autoLine="0" autoPict="0">
                <anchor moveWithCells="1">
                  <from>
                    <xdr:col>1</xdr:col>
                    <xdr:colOff>152400</xdr:colOff>
                    <xdr:row>3</xdr:row>
                    <xdr:rowOff>137160</xdr:rowOff>
                  </from>
                  <to>
                    <xdr:col>1</xdr:col>
                    <xdr:colOff>708660</xdr:colOff>
                    <xdr:row>3</xdr:row>
                    <xdr:rowOff>647700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Option Button 7">
              <controlPr defaultSize="0" autoFill="0" autoLine="0" autoPict="0">
                <anchor moveWithCells="1">
                  <from>
                    <xdr:col>1</xdr:col>
                    <xdr:colOff>967740</xdr:colOff>
                    <xdr:row>3</xdr:row>
                    <xdr:rowOff>114300</xdr:rowOff>
                  </from>
                  <to>
                    <xdr:col>1</xdr:col>
                    <xdr:colOff>1508760</xdr:colOff>
                    <xdr:row>3</xdr:row>
                    <xdr:rowOff>708660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f672f5-03ea-408f-a5d1-867296aaf3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F331C69CDD408C183B29D3CD2888" ma:contentTypeVersion="10" ma:contentTypeDescription="Create a new document." ma:contentTypeScope="" ma:versionID="9d2f0ff3704d662ef8dbfd42aec462f1">
  <xsd:schema xmlns:xsd="http://www.w3.org/2001/XMLSchema" xmlns:xs="http://www.w3.org/2001/XMLSchema" xmlns:p="http://schemas.microsoft.com/office/2006/metadata/properties" xmlns:ns3="b7f672f5-03ea-408f-a5d1-867296aaf3ff" targetNamespace="http://schemas.microsoft.com/office/2006/metadata/properties" ma:root="true" ma:fieldsID="484c37476acec2dbb8832e52462c9f67" ns3:_="">
    <xsd:import namespace="b7f672f5-03ea-408f-a5d1-867296aaf3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672f5-03ea-408f-a5d1-867296aaf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BE70EF-FD55-4D84-B3E8-8C149E42EFCB}">
  <ds:schemaRefs>
    <ds:schemaRef ds:uri="http://purl.org/dc/dcmitype/"/>
    <ds:schemaRef ds:uri="http://schemas.microsoft.com/office/2006/metadata/properties"/>
    <ds:schemaRef ds:uri="b7f672f5-03ea-408f-a5d1-867296aaf3ff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118B548-5E4B-48DD-A05B-216B6D630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672f5-03ea-408f-a5d1-867296aaf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56F81B-E299-488C-A272-9E5A1D425E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 1</vt:lpstr>
      <vt:lpstr>Sc 2</vt:lpstr>
      <vt:lpstr>Sc 3</vt:lpstr>
      <vt:lpstr>Sc 4</vt:lpstr>
      <vt:lpstr>Sc 5</vt:lpstr>
      <vt:lpstr>Sc 6</vt:lpstr>
      <vt:lpstr>Sc 7</vt:lpstr>
      <vt:lpstr>Sc 8</vt:lpstr>
      <vt:lpstr>Sc 9</vt:lpstr>
      <vt:lpstr>Sc 10</vt:lpstr>
      <vt:lpstr>Sc 11</vt:lpstr>
      <vt:lpstr>Sc 12</vt:lpstr>
      <vt:lpstr>Sc 13</vt:lpstr>
      <vt:lpstr>Sc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2025-09-02T14:24:49Z</dcterms:created>
  <dcterms:modified xsi:type="dcterms:W3CDTF">2025-09-07T18:20:27Z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0x010100E888F331C69CDD408C183B29D3CD2888</vt:lpwstr>
  </property>
</Properties>
</file>