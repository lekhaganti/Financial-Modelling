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A474AE1-4544-4671-A17F-F91DCCE57BDF}" xr6:coauthVersionLast="36" xr6:coauthVersionMax="36" xr10:uidLastSave="{00000000-0000-0000-0000-000000000000}"/>
  <bookViews>
    <workbookView xWindow="-108" yWindow="-108" windowWidth="19416" windowHeight="11016" xr2:uid="{00000000-000D-0000-FFFF-FFFF00000000}"/>
  </bookViews>
  <sheets>
    <sheet name="9.1-9.7" sheetId="5" r:id="rId1"/>
  </sheets>
  <definedNames>
    <definedName name="RiskAfterSimMacro">"After"</definedName>
    <definedName name="RiskAutoStopPercChange">1.5</definedName>
    <definedName name="RiskBeforeSimMacro">"Before"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200</definedName>
    <definedName name="RiskNumSimulations">28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TRUE</definedName>
    <definedName name="RiskRunBeforeRecalcMacro">FALSE</definedName>
    <definedName name="RiskRunBeforeSimMacro">TRUE</definedName>
    <definedName name="RiskSamplingType">3</definedName>
    <definedName name="RiskShowRiskWindowAtEndOfSimulation">FALSE</definedName>
    <definedName name="RiskStandardRecalc">2</definedName>
    <definedName name="RiskTemplateSheetName">"myTemplate"</definedName>
    <definedName name="RiskUpdateDisplay">TRUE</definedName>
    <definedName name="RiskUseDifferentSeedForEachSim">FALSE</definedName>
    <definedName name="RiskUseFixedSeed">FALSE</definedName>
    <definedName name="RiskUseMultipleCPUs">FALSE</definedName>
  </definedNames>
  <calcPr calcId="191029"/>
</workbook>
</file>

<file path=xl/calcChain.xml><?xml version="1.0" encoding="utf-8"?>
<calcChain xmlns="http://schemas.openxmlformats.org/spreadsheetml/2006/main">
  <c r="G233" i="5" l="1"/>
  <c r="C27" i="5" l="1"/>
  <c r="H18" i="5" l="1"/>
  <c r="G28" i="5"/>
  <c r="H15" i="5"/>
  <c r="G15" i="5"/>
  <c r="F15" i="5"/>
  <c r="E15" i="5"/>
  <c r="D15" i="5"/>
  <c r="C15" i="5"/>
  <c r="H29" i="5"/>
  <c r="H76" i="5" l="1"/>
  <c r="H24" i="5"/>
  <c r="G27" i="5"/>
  <c r="F27" i="5"/>
  <c r="E27" i="5"/>
  <c r="D27" i="5"/>
  <c r="B5" i="5"/>
  <c r="B236" i="5" l="1"/>
  <c r="B81" i="5"/>
  <c r="B82" i="5" s="1"/>
  <c r="B234" i="5"/>
  <c r="B121" i="5"/>
  <c r="B211" i="5"/>
  <c r="B185" i="5"/>
  <c r="B152" i="5"/>
  <c r="A235" i="5"/>
  <c r="A210" i="5"/>
  <c r="A184" i="5"/>
  <c r="A151" i="5"/>
  <c r="A120" i="5"/>
  <c r="B80" i="5"/>
  <c r="B9" i="5"/>
  <c r="G18" i="5"/>
  <c r="F18" i="5"/>
  <c r="E18" i="5"/>
  <c r="D18" i="5"/>
  <c r="A237" i="5"/>
  <c r="A236" i="5"/>
  <c r="A212" i="5"/>
  <c r="A211" i="5"/>
  <c r="A186" i="5"/>
  <c r="A185" i="5"/>
  <c r="A153" i="5"/>
  <c r="A152" i="5"/>
  <c r="A122" i="5"/>
  <c r="A121" i="5"/>
  <c r="F32" i="5"/>
  <c r="F66" i="5" s="1"/>
  <c r="E32" i="5"/>
  <c r="E66" i="5" s="1"/>
  <c r="D32" i="5"/>
  <c r="D66" i="5" s="1"/>
  <c r="C32" i="5"/>
  <c r="C80" i="5" s="1"/>
  <c r="G29" i="5"/>
  <c r="G30" i="5" s="1"/>
  <c r="G77" i="5" s="1"/>
  <c r="F29" i="5"/>
  <c r="F30" i="5" s="1"/>
  <c r="F77" i="5" s="1"/>
  <c r="E29" i="5"/>
  <c r="E30" i="5" s="1"/>
  <c r="E77" i="5" s="1"/>
  <c r="D29" i="5"/>
  <c r="D30" i="5" s="1"/>
  <c r="D77" i="5" s="1"/>
  <c r="C29" i="5"/>
  <c r="H16" i="5"/>
  <c r="H17" i="5" s="1"/>
  <c r="H19" i="5" s="1"/>
  <c r="C18" i="5"/>
  <c r="G16" i="5"/>
  <c r="G17" i="5" s="1"/>
  <c r="G19" i="5" s="1"/>
  <c r="F16" i="5"/>
  <c r="F17" i="5" s="1"/>
  <c r="E16" i="5"/>
  <c r="E17" i="5" s="1"/>
  <c r="E19" i="5" s="1"/>
  <c r="D16" i="5"/>
  <c r="D17" i="5" s="1"/>
  <c r="D19" i="5" s="1"/>
  <c r="C16" i="5"/>
  <c r="C17" i="5" s="1"/>
  <c r="B8" i="5"/>
  <c r="B7" i="5"/>
  <c r="B6" i="5"/>
  <c r="G24" i="5" l="1"/>
  <c r="G76" i="5"/>
  <c r="B150" i="5"/>
  <c r="C20" i="5"/>
  <c r="C69" i="5"/>
  <c r="C118" i="5" s="1"/>
  <c r="B209" i="5"/>
  <c r="C24" i="5"/>
  <c r="C76" i="5"/>
  <c r="C19" i="5"/>
  <c r="C21" i="5" s="1"/>
  <c r="C22" i="5" s="1"/>
  <c r="C23" i="5" s="1"/>
  <c r="C150" i="5"/>
  <c r="C209" i="5"/>
  <c r="F24" i="5"/>
  <c r="F76" i="5"/>
  <c r="D24" i="5"/>
  <c r="D76" i="5"/>
  <c r="F19" i="5"/>
  <c r="E24" i="5"/>
  <c r="E76" i="5"/>
  <c r="D20" i="5"/>
  <c r="D80" i="5"/>
  <c r="C30" i="5"/>
  <c r="C77" i="5" s="1"/>
  <c r="C81" i="5"/>
  <c r="C66" i="5"/>
  <c r="C73" i="5" l="1"/>
  <c r="C25" i="5"/>
  <c r="C34" i="5" s="1"/>
  <c r="C74" i="5"/>
  <c r="C65" i="5"/>
  <c r="D150" i="5"/>
  <c r="D209" i="5"/>
  <c r="C67" i="5"/>
  <c r="E80" i="5"/>
  <c r="E20" i="5"/>
  <c r="D69" i="5"/>
  <c r="D118" i="5" s="1"/>
  <c r="D81" i="5"/>
  <c r="C82" i="5"/>
  <c r="C70" i="5" l="1"/>
  <c r="C148" i="5"/>
  <c r="E209" i="5"/>
  <c r="E150" i="5"/>
  <c r="C75" i="5"/>
  <c r="C35" i="5"/>
  <c r="C207" i="5" s="1"/>
  <c r="F80" i="5"/>
  <c r="F20" i="5"/>
  <c r="E81" i="5"/>
  <c r="D82" i="5"/>
  <c r="D21" i="5"/>
  <c r="D74" i="5"/>
  <c r="D65" i="5"/>
  <c r="D67" i="5" s="1"/>
  <c r="E69" i="5"/>
  <c r="E118" i="5" s="1"/>
  <c r="C85" i="5" l="1"/>
  <c r="C78" i="5"/>
  <c r="G20" i="5"/>
  <c r="F209" i="5"/>
  <c r="F150" i="5"/>
  <c r="F69" i="5"/>
  <c r="F118" i="5" s="1"/>
  <c r="D22" i="5"/>
  <c r="D23" i="5" s="1"/>
  <c r="E65" i="5"/>
  <c r="E67" i="5" s="1"/>
  <c r="E74" i="5"/>
  <c r="E21" i="5"/>
  <c r="E22" i="5" s="1"/>
  <c r="E23" i="5" s="1"/>
  <c r="F81" i="5"/>
  <c r="F82" i="5" s="1"/>
  <c r="E82" i="5"/>
  <c r="C116" i="5" l="1"/>
  <c r="C183" i="5"/>
  <c r="E25" i="5"/>
  <c r="E34" i="5" s="1"/>
  <c r="E148" i="5" s="1"/>
  <c r="E73" i="5"/>
  <c r="E75" i="5" s="1"/>
  <c r="D25" i="5"/>
  <c r="D34" i="5" s="1"/>
  <c r="D148" i="5" s="1"/>
  <c r="D73" i="5"/>
  <c r="D75" i="5" s="1"/>
  <c r="F65" i="5"/>
  <c r="F67" i="5" s="1"/>
  <c r="F21" i="5"/>
  <c r="F74" i="5"/>
  <c r="G69" i="5"/>
  <c r="G118" i="5" s="1"/>
  <c r="G32" i="5"/>
  <c r="G80" i="5" s="1"/>
  <c r="H32" i="5" s="1"/>
  <c r="H66" i="5" s="1"/>
  <c r="G150" i="5" l="1"/>
  <c r="G209" i="5"/>
  <c r="D78" i="5"/>
  <c r="D85" i="5"/>
  <c r="G74" i="5"/>
  <c r="G21" i="5"/>
  <c r="G65" i="5"/>
  <c r="F22" i="5"/>
  <c r="F23" i="5" s="1"/>
  <c r="D70" i="5"/>
  <c r="D35" i="5"/>
  <c r="D207" i="5" s="1"/>
  <c r="H20" i="5"/>
  <c r="H69" i="5"/>
  <c r="H118" i="5" s="1"/>
  <c r="G119" i="5" s="1"/>
  <c r="F119" i="5" s="1"/>
  <c r="E119" i="5" s="1"/>
  <c r="D119" i="5" s="1"/>
  <c r="C119" i="5" s="1"/>
  <c r="B119" i="5" s="1"/>
  <c r="H80" i="5"/>
  <c r="E78" i="5"/>
  <c r="E85" i="5"/>
  <c r="G81" i="5"/>
  <c r="G232" i="5" s="1"/>
  <c r="G66" i="5"/>
  <c r="E35" i="5"/>
  <c r="E207" i="5" s="1"/>
  <c r="E70" i="5"/>
  <c r="D116" i="5" l="1"/>
  <c r="D183" i="5"/>
  <c r="E116" i="5"/>
  <c r="E183" i="5"/>
  <c r="H27" i="5"/>
  <c r="H30" i="5" s="1"/>
  <c r="H77" i="5" s="1"/>
  <c r="G22" i="5"/>
  <c r="G23" i="5" s="1"/>
  <c r="F25" i="5"/>
  <c r="F34" i="5" s="1"/>
  <c r="F148" i="5" s="1"/>
  <c r="F73" i="5"/>
  <c r="F75" i="5" s="1"/>
  <c r="H65" i="5"/>
  <c r="H67" i="5" s="1"/>
  <c r="H21" i="5"/>
  <c r="H22" i="5" s="1"/>
  <c r="H23" i="5" s="1"/>
  <c r="H74" i="5"/>
  <c r="G82" i="5"/>
  <c r="G67" i="5"/>
  <c r="H81" i="5" l="1"/>
  <c r="H82" i="5" s="1"/>
  <c r="G73" i="5"/>
  <c r="G75" i="5" s="1"/>
  <c r="G25" i="5"/>
  <c r="G34" i="5" s="1"/>
  <c r="G148" i="5" s="1"/>
  <c r="F78" i="5"/>
  <c r="F85" i="5"/>
  <c r="F35" i="5"/>
  <c r="F207" i="5" s="1"/>
  <c r="F70" i="5"/>
  <c r="H25" i="5"/>
  <c r="H34" i="5" s="1"/>
  <c r="H148" i="5" s="1"/>
  <c r="H73" i="5"/>
  <c r="H75" i="5" s="1"/>
  <c r="F116" i="5" l="1"/>
  <c r="F183" i="5"/>
  <c r="H78" i="5"/>
  <c r="H85" i="5"/>
  <c r="H70" i="5"/>
  <c r="H35" i="5"/>
  <c r="H207" i="5" s="1"/>
  <c r="G70" i="5"/>
  <c r="G35" i="5"/>
  <c r="G207" i="5" s="1"/>
  <c r="G78" i="5"/>
  <c r="G85" i="5"/>
  <c r="H116" i="5" l="1"/>
  <c r="G117" i="5" s="1"/>
  <c r="G144" i="5" s="1"/>
  <c r="H183" i="5"/>
  <c r="G116" i="5"/>
  <c r="G183" i="5"/>
  <c r="F117" i="5" l="1"/>
  <c r="E117" i="5" s="1"/>
  <c r="G145" i="5"/>
  <c r="H146" i="5" s="1"/>
  <c r="G180" i="5"/>
  <c r="G179" i="5"/>
  <c r="F144" i="5" l="1"/>
  <c r="F145" i="5" s="1"/>
  <c r="H181" i="5"/>
  <c r="G149" i="5"/>
  <c r="G208" i="5"/>
  <c r="D117" i="5"/>
  <c r="E144" i="5"/>
  <c r="F180" i="5" l="1"/>
  <c r="C117" i="5"/>
  <c r="D144" i="5"/>
  <c r="E145" i="5"/>
  <c r="E180" i="5"/>
  <c r="F179" i="5"/>
  <c r="G146" i="5"/>
  <c r="G184" i="5"/>
  <c r="H86" i="5"/>
  <c r="H87" i="5" s="1"/>
  <c r="H231" i="5" s="1"/>
  <c r="G181" i="5" l="1"/>
  <c r="G86" i="5" s="1"/>
  <c r="G87" i="5" s="1"/>
  <c r="G231" i="5" s="1"/>
  <c r="F233" i="5" s="1"/>
  <c r="F208" i="5"/>
  <c r="F149" i="5"/>
  <c r="D145" i="5"/>
  <c r="D180" i="5"/>
  <c r="E179" i="5"/>
  <c r="F146" i="5"/>
  <c r="F181" i="5" s="1"/>
  <c r="F86" i="5" s="1"/>
  <c r="F87" i="5" s="1"/>
  <c r="F231" i="5" s="1"/>
  <c r="F184" i="5"/>
  <c r="B117" i="5"/>
  <c r="C144" i="5"/>
  <c r="E233" i="5" l="1"/>
  <c r="E184" i="5"/>
  <c r="D179" i="5"/>
  <c r="E146" i="5"/>
  <c r="C145" i="5"/>
  <c r="C180" i="5"/>
  <c r="E149" i="5"/>
  <c r="E208" i="5"/>
  <c r="B120" i="5"/>
  <c r="B122" i="5" s="1"/>
  <c r="B144" i="5"/>
  <c r="D208" i="5" l="1"/>
  <c r="D149" i="5"/>
  <c r="E181" i="5"/>
  <c r="E86" i="5" s="1"/>
  <c r="E87" i="5" s="1"/>
  <c r="E231" i="5" s="1"/>
  <c r="D233" i="5" s="1"/>
  <c r="C179" i="5"/>
  <c r="D146" i="5"/>
  <c r="B145" i="5"/>
  <c r="B180" i="5"/>
  <c r="D181" i="5" l="1"/>
  <c r="D86" i="5" s="1"/>
  <c r="D87" i="5" s="1"/>
  <c r="D231" i="5" s="1"/>
  <c r="C233" i="5" s="1"/>
  <c r="D184" i="5"/>
  <c r="B179" i="5"/>
  <c r="C146" i="5"/>
  <c r="C149" i="5"/>
  <c r="C208" i="5"/>
  <c r="C184" i="5" l="1"/>
  <c r="B208" i="5"/>
  <c r="B210" i="5" s="1"/>
  <c r="B212" i="5" s="1"/>
  <c r="B149" i="5"/>
  <c r="B151" i="5" s="1"/>
  <c r="B153" i="5" s="1"/>
  <c r="C181" i="5"/>
  <c r="C86" i="5" s="1"/>
  <c r="C87" i="5" s="1"/>
  <c r="C231" i="5" s="1"/>
  <c r="B233" i="5" s="1"/>
  <c r="B235" i="5" s="1"/>
  <c r="B237" i="5" s="1"/>
  <c r="B184" i="5" l="1"/>
  <c r="B186" i="5" s="1"/>
</calcChain>
</file>

<file path=xl/sharedStrings.xml><?xml version="1.0" encoding="utf-8"?>
<sst xmlns="http://schemas.openxmlformats.org/spreadsheetml/2006/main" count="98" uniqueCount="66">
  <si>
    <t>Inputs</t>
  </si>
  <si>
    <t>Date</t>
  </si>
  <si>
    <t>Taxes</t>
  </si>
  <si>
    <t>Debt (D)</t>
  </si>
  <si>
    <t>Tax Rate</t>
  </si>
  <si>
    <t>New Borrowing (Repayment)</t>
  </si>
  <si>
    <t>Interest Expense</t>
  </si>
  <si>
    <t>Debt + Equity (D+E)</t>
  </si>
  <si>
    <t>Equity (E)</t>
  </si>
  <si>
    <t>Debt Weight (D / (D+E))</t>
  </si>
  <si>
    <t>Equity Weight (E / (D+E))</t>
  </si>
  <si>
    <t>Earnings Bef Interest &amp; Tax (EBIT)</t>
  </si>
  <si>
    <t>Year</t>
  </si>
  <si>
    <t>Dividend</t>
  </si>
  <si>
    <t>Free Cash Flow to Equity (FCFE)</t>
  </si>
  <si>
    <t>Revenues</t>
  </si>
  <si>
    <t>Expenses</t>
  </si>
  <si>
    <t>Earnings Before Tax</t>
  </si>
  <si>
    <t>Earnings</t>
  </si>
  <si>
    <t>Depreciation</t>
  </si>
  <si>
    <t>Gross Earnings</t>
  </si>
  <si>
    <t>Add Back Depreciation</t>
  </si>
  <si>
    <t>= Dividends</t>
  </si>
  <si>
    <t>Free Cash Flow to the Firm (FCFF)</t>
  </si>
  <si>
    <t>Cash Flow from Operations</t>
  </si>
  <si>
    <t>Cash Flows from Investments</t>
  </si>
  <si>
    <t>New Invest in Plant and Equipment</t>
  </si>
  <si>
    <t>New Invest in Working Capital</t>
  </si>
  <si>
    <t>Unlevered Cost of Equity Capital</t>
  </si>
  <si>
    <t>Riskfree Rate=Cost of Riskfree Debt</t>
  </si>
  <si>
    <t>Tax Shield Benefit</t>
  </si>
  <si>
    <t>Interest</t>
  </si>
  <si>
    <t>Less New Borrowing (Repayment)</t>
  </si>
  <si>
    <t>Cash Flow to Debtholders (CFD)</t>
  </si>
  <si>
    <t>After-tax Interest Expense</t>
  </si>
  <si>
    <t>Net Oper. Profit After Tax (NOPAT)</t>
  </si>
  <si>
    <t>(1.) Adjusted Present Value (APV)</t>
  </si>
  <si>
    <t>Levered Cost of Equity Capital</t>
  </si>
  <si>
    <t>(4) Dividend Discount Model (DDM)</t>
  </si>
  <si>
    <t>Cash Flows</t>
  </si>
  <si>
    <r>
      <t>F</t>
    </r>
    <r>
      <rPr>
        <b/>
        <sz val="14"/>
        <color indexed="10"/>
        <rFont val="Arial"/>
        <family val="2"/>
      </rPr>
      <t xml:space="preserve">IRM </t>
    </r>
    <r>
      <rPr>
        <b/>
        <sz val="20"/>
        <color indexed="10"/>
        <rFont val="Arial"/>
        <family val="2"/>
      </rPr>
      <t>A</t>
    </r>
    <r>
      <rPr>
        <b/>
        <sz val="14"/>
        <color indexed="10"/>
        <rFont val="Arial"/>
        <family val="2"/>
      </rPr>
      <t xml:space="preserve">ND </t>
    </r>
    <r>
      <rPr>
        <b/>
        <sz val="20"/>
        <color indexed="10"/>
        <rFont val="Arial"/>
        <family val="2"/>
      </rPr>
      <t>P</t>
    </r>
    <r>
      <rPr>
        <b/>
        <sz val="14"/>
        <color indexed="10"/>
        <rFont val="Arial"/>
        <family val="2"/>
      </rPr>
      <t>ROJECT</t>
    </r>
    <r>
      <rPr>
        <b/>
        <sz val="20"/>
        <color indexed="10"/>
        <rFont val="Arial"/>
        <family val="2"/>
      </rPr>
      <t xml:space="preserve"> V</t>
    </r>
    <r>
      <rPr>
        <b/>
        <sz val="14"/>
        <color indexed="10"/>
        <rFont val="Arial"/>
        <family val="2"/>
      </rPr>
      <t>ALUATION</t>
    </r>
  </si>
  <si>
    <t>Valuation Object</t>
  </si>
  <si>
    <t>Value of Equity (E)</t>
  </si>
  <si>
    <t>Value of Debt (D)</t>
  </si>
  <si>
    <t>Value of the Tax Shield Benefit</t>
  </si>
  <si>
    <t>Value of the Unlevered Firm</t>
  </si>
  <si>
    <t>(3) Free Cash Flow to the Firm (FCFF)</t>
  </si>
  <si>
    <t>(2) Free Cash Flow to Equity (FCFE)</t>
  </si>
  <si>
    <t>Infin Horiz</t>
  </si>
  <si>
    <t>2nd Stage:</t>
  </si>
  <si>
    <t>Cost of Firm Capital (WACC)</t>
  </si>
  <si>
    <t>Capital Charge</t>
  </si>
  <si>
    <t>Economic Profit</t>
  </si>
  <si>
    <t>Book Value of Equity</t>
  </si>
  <si>
    <t>Date 0 Proj Investment or Firm Cap</t>
  </si>
  <si>
    <t>+ Date 0 Book Value of the Firm</t>
  </si>
  <si>
    <t>After-Tax Salvage Value</t>
  </si>
  <si>
    <t>Economic Profit on Salvage Value</t>
  </si>
  <si>
    <t>Include Infinite Horizon?</t>
  </si>
  <si>
    <t>First Stage: Finite Horizon</t>
  </si>
  <si>
    <t>Alternative Way to get FCFF</t>
  </si>
  <si>
    <t>Value of the Economic Profit</t>
  </si>
  <si>
    <t>Five Equivalent Methods</t>
  </si>
  <si>
    <t>Total Capital</t>
  </si>
  <si>
    <t>(5) Residual Income (RI)</t>
  </si>
  <si>
    <t>Infinte Horizon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</si>
</sst>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\(&quot;$&quot;#,##0.0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&quot;$&quot;#,##0.00"/>
    <numFmt numFmtId="168" formatCode="0.0%"/>
    <numFmt numFmtId="169" formatCode="0.0000%"/>
    <numFmt numFmtId="170" formatCode="0.0000000000000000%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  <font>
      <b/>
      <sz val="20"/>
      <color indexed="10"/>
      <name val="Arial"/>
      <family val="2"/>
    </font>
    <font>
      <b/>
      <sz val="14"/>
      <color indexed="10"/>
      <name val="Arial"/>
      <family val="2"/>
    </font>
    <font>
      <b/>
      <sz val="16"/>
      <color indexed="17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/>
      <bottom style="thin">
        <color indexed="64"/>
      </bottom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4"/>
      </right>
      <top style="thin">
        <color indexed="61"/>
      </top>
      <bottom style="thin">
        <color indexed="61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4"/>
      </right>
      <top style="thin">
        <color indexed="61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16"/>
      </top>
      <bottom style="thin">
        <color indexed="64"/>
      </bottom>
      <diagonal/>
    </border>
  </borders>
  <cellStyleXfs count="6">
    <xf numFmtId="0" fontId="0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2"/>
    <xf numFmtId="165" fontId="3" fillId="3" borderId="9" xfId="2" applyNumberFormat="1" applyFill="1" applyBorder="1"/>
    <xf numFmtId="0" fontId="3" fillId="0" borderId="2" xfId="2" applyBorder="1"/>
    <xf numFmtId="165" fontId="3" fillId="0" borderId="0" xfId="2" applyNumberFormat="1"/>
    <xf numFmtId="0" fontId="2" fillId="0" borderId="5" xfId="2" applyFont="1" applyBorder="1" applyAlignment="1">
      <alignment horizontal="center"/>
    </xf>
    <xf numFmtId="0" fontId="4" fillId="0" borderId="2" xfId="2" applyFont="1" applyBorder="1"/>
    <xf numFmtId="168" fontId="0" fillId="0" borderId="0" xfId="3" applyNumberFormat="1" applyFont="1"/>
    <xf numFmtId="0" fontId="3" fillId="0" borderId="4" xfId="2" applyBorder="1"/>
    <xf numFmtId="164" fontId="3" fillId="0" borderId="0" xfId="2" applyNumberFormat="1"/>
    <xf numFmtId="167" fontId="3" fillId="0" borderId="0" xfId="2" applyNumberFormat="1"/>
    <xf numFmtId="0" fontId="3" fillId="0" borderId="6" xfId="2" applyBorder="1"/>
    <xf numFmtId="0" fontId="2" fillId="0" borderId="0" xfId="2" applyFont="1"/>
    <xf numFmtId="168" fontId="0" fillId="2" borderId="1" xfId="3" applyNumberFormat="1" applyFont="1" applyFill="1" applyBorder="1" applyAlignment="1">
      <alignment horizontal="right"/>
    </xf>
    <xf numFmtId="168" fontId="0" fillId="2" borderId="3" xfId="3" applyNumberFormat="1" applyFont="1" applyFill="1" applyBorder="1"/>
    <xf numFmtId="167" fontId="0" fillId="2" borderId="1" xfId="1" applyNumberFormat="1" applyFont="1" applyFill="1" applyBorder="1"/>
    <xf numFmtId="169" fontId="0" fillId="0" borderId="0" xfId="3" applyNumberFormat="1" applyFont="1"/>
    <xf numFmtId="10" fontId="0" fillId="0" borderId="0" xfId="3" applyNumberFormat="1" applyFont="1"/>
    <xf numFmtId="0" fontId="2" fillId="0" borderId="4" xfId="2" applyFont="1" applyBorder="1" applyAlignment="1">
      <alignment horizontal="center"/>
    </xf>
    <xf numFmtId="0" fontId="1" fillId="0" borderId="0" xfId="2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0" fillId="0" borderId="0" xfId="4" applyNumberFormat="1" applyFont="1" applyBorder="1"/>
    <xf numFmtId="165" fontId="0" fillId="0" borderId="6" xfId="0" applyNumberFormat="1" applyBorder="1"/>
    <xf numFmtId="165" fontId="0" fillId="0" borderId="0" xfId="0" applyNumberFormat="1"/>
    <xf numFmtId="0" fontId="1" fillId="0" borderId="2" xfId="2" applyFont="1" applyBorder="1"/>
    <xf numFmtId="167" fontId="0" fillId="0" borderId="0" xfId="0" applyNumberFormat="1"/>
    <xf numFmtId="0" fontId="3" fillId="0" borderId="11" xfId="2" applyBorder="1"/>
    <xf numFmtId="0" fontId="1" fillId="0" borderId="0" xfId="2" quotePrefix="1" applyFont="1"/>
    <xf numFmtId="168" fontId="0" fillId="0" borderId="4" xfId="3" applyNumberFormat="1" applyFont="1" applyBorder="1"/>
    <xf numFmtId="0" fontId="1" fillId="0" borderId="11" xfId="2" applyFont="1" applyBorder="1"/>
    <xf numFmtId="165" fontId="0" fillId="0" borderId="11" xfId="0" applyNumberFormat="1" applyBorder="1"/>
    <xf numFmtId="165" fontId="0" fillId="2" borderId="1" xfId="1" applyNumberFormat="1" applyFont="1" applyFill="1" applyBorder="1"/>
    <xf numFmtId="164" fontId="5" fillId="0" borderId="0" xfId="2" applyNumberFormat="1" applyFont="1"/>
    <xf numFmtId="0" fontId="0" fillId="0" borderId="6" xfId="0" applyBorder="1"/>
    <xf numFmtId="165" fontId="3" fillId="0" borderId="6" xfId="2" applyNumberFormat="1" applyBorder="1"/>
    <xf numFmtId="0" fontId="2" fillId="0" borderId="0" xfId="0" applyFont="1"/>
    <xf numFmtId="0" fontId="2" fillId="0" borderId="10" xfId="0" applyFont="1" applyBorder="1"/>
    <xf numFmtId="0" fontId="3" fillId="0" borderId="7" xfId="2" applyBorder="1"/>
    <xf numFmtId="167" fontId="0" fillId="0" borderId="6" xfId="1" applyNumberFormat="1" applyFont="1" applyFill="1" applyBorder="1"/>
    <xf numFmtId="167" fontId="0" fillId="2" borderId="15" xfId="1" applyNumberFormat="1" applyFont="1" applyFill="1" applyBorder="1"/>
    <xf numFmtId="165" fontId="0" fillId="2" borderId="15" xfId="1" applyNumberFormat="1" applyFont="1" applyFill="1" applyBorder="1"/>
    <xf numFmtId="165" fontId="0" fillId="2" borderId="16" xfId="1" applyNumberFormat="1" applyFont="1" applyFill="1" applyBorder="1"/>
    <xf numFmtId="167" fontId="0" fillId="2" borderId="16" xfId="1" applyNumberFormat="1" applyFont="1" applyFill="1" applyBorder="1"/>
    <xf numFmtId="165" fontId="3" fillId="0" borderId="18" xfId="2" applyNumberFormat="1" applyBorder="1"/>
    <xf numFmtId="165" fontId="3" fillId="0" borderId="14" xfId="2" applyNumberFormat="1" applyBorder="1"/>
    <xf numFmtId="165" fontId="0" fillId="0" borderId="19" xfId="0" applyNumberFormat="1" applyBorder="1"/>
    <xf numFmtId="164" fontId="3" fillId="0" borderId="6" xfId="2" applyNumberFormat="1" applyBorder="1"/>
    <xf numFmtId="168" fontId="0" fillId="0" borderId="6" xfId="3" applyNumberFormat="1" applyFont="1" applyBorder="1"/>
    <xf numFmtId="165" fontId="0" fillId="0" borderId="12" xfId="4" applyNumberFormat="1" applyFont="1" applyBorder="1"/>
    <xf numFmtId="168" fontId="0" fillId="0" borderId="0" xfId="3" applyNumberFormat="1" applyFont="1" applyBorder="1"/>
    <xf numFmtId="165" fontId="0" fillId="0" borderId="10" xfId="0" applyNumberFormat="1" applyBorder="1"/>
    <xf numFmtId="165" fontId="3" fillId="0" borderId="12" xfId="2" applyNumberFormat="1" applyBorder="1"/>
    <xf numFmtId="0" fontId="1" fillId="0" borderId="2" xfId="2" quotePrefix="1" applyFont="1" applyBorder="1"/>
    <xf numFmtId="165" fontId="3" fillId="0" borderId="2" xfId="2" applyNumberFormat="1" applyBorder="1"/>
    <xf numFmtId="165" fontId="0" fillId="0" borderId="12" xfId="0" applyNumberFormat="1" applyBorder="1"/>
    <xf numFmtId="165" fontId="3" fillId="0" borderId="10" xfId="2" applyNumberFormat="1" applyBorder="1"/>
    <xf numFmtId="165" fontId="3" fillId="0" borderId="17" xfId="2" applyNumberFormat="1" applyBorder="1"/>
    <xf numFmtId="165" fontId="3" fillId="0" borderId="11" xfId="2" applyNumberFormat="1" applyBorder="1"/>
    <xf numFmtId="165" fontId="3" fillId="0" borderId="20" xfId="2" applyNumberFormat="1" applyBorder="1"/>
    <xf numFmtId="165" fontId="3" fillId="0" borderId="0" xfId="5" applyNumberFormat="1" applyFont="1" applyBorder="1"/>
    <xf numFmtId="165" fontId="3" fillId="0" borderId="6" xfId="5" applyNumberFormat="1" applyFont="1" applyBorder="1"/>
    <xf numFmtId="165" fontId="2" fillId="0" borderId="4" xfId="2" applyNumberFormat="1" applyFont="1" applyBorder="1" applyAlignment="1">
      <alignment horizontal="center"/>
    </xf>
    <xf numFmtId="165" fontId="2" fillId="0" borderId="10" xfId="0" applyNumberFormat="1" applyFont="1" applyBorder="1"/>
    <xf numFmtId="165" fontId="2" fillId="0" borderId="5" xfId="2" applyNumberFormat="1" applyFont="1" applyBorder="1" applyAlignment="1">
      <alignment horizontal="center"/>
    </xf>
    <xf numFmtId="165" fontId="3" fillId="0" borderId="8" xfId="2" applyNumberFormat="1" applyBorder="1"/>
    <xf numFmtId="165" fontId="3" fillId="0" borderId="4" xfId="2" applyNumberFormat="1" applyBorder="1"/>
    <xf numFmtId="165" fontId="0" fillId="0" borderId="4" xfId="1" applyNumberFormat="1" applyFont="1" applyFill="1" applyBorder="1"/>
    <xf numFmtId="165" fontId="0" fillId="0" borderId="10" xfId="1" applyNumberFormat="1" applyFont="1" applyFill="1" applyBorder="1"/>
    <xf numFmtId="165" fontId="0" fillId="0" borderId="5" xfId="1" applyNumberFormat="1" applyFont="1" applyFill="1" applyBorder="1"/>
    <xf numFmtId="165" fontId="3" fillId="0" borderId="21" xfId="2" applyNumberFormat="1" applyBorder="1"/>
    <xf numFmtId="165" fontId="3" fillId="0" borderId="5" xfId="2" applyNumberFormat="1" applyBorder="1"/>
    <xf numFmtId="165" fontId="0" fillId="0" borderId="5" xfId="0" applyNumberFormat="1" applyBorder="1"/>
    <xf numFmtId="165" fontId="0" fillId="0" borderId="4" xfId="0" applyNumberFormat="1" applyBorder="1"/>
    <xf numFmtId="165" fontId="0" fillId="0" borderId="2" xfId="0" applyNumberFormat="1" applyBorder="1"/>
    <xf numFmtId="165" fontId="3" fillId="0" borderId="13" xfId="2" applyNumberFormat="1" applyBorder="1"/>
    <xf numFmtId="165" fontId="3" fillId="0" borderId="7" xfId="2" applyNumberFormat="1" applyBorder="1"/>
    <xf numFmtId="0" fontId="3" fillId="0" borderId="0" xfId="2" applyAlignment="1">
      <alignment horizontal="center"/>
    </xf>
    <xf numFmtId="0" fontId="1" fillId="0" borderId="0" xfId="2" applyFont="1" applyAlignment="1">
      <alignment horizontal="center"/>
    </xf>
    <xf numFmtId="0" fontId="1" fillId="0" borderId="0" xfId="2" applyFont="1" applyAlignment="1">
      <alignment wrapText="1"/>
    </xf>
    <xf numFmtId="0" fontId="0" fillId="0" borderId="10" xfId="0" applyBorder="1" applyAlignment="1">
      <alignment horizontal="center"/>
    </xf>
    <xf numFmtId="0" fontId="3" fillId="0" borderId="7" xfId="2" applyBorder="1" applyAlignment="1">
      <alignment horizontal="center"/>
    </xf>
    <xf numFmtId="0" fontId="3" fillId="0" borderId="2" xfId="2" applyBorder="1" applyAlignment="1">
      <alignment horizontal="center"/>
    </xf>
    <xf numFmtId="0" fontId="3" fillId="0" borderId="8" xfId="2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3" xfId="2" applyBorder="1" applyAlignment="1">
      <alignment horizontal="center"/>
    </xf>
    <xf numFmtId="0" fontId="10" fillId="0" borderId="0" xfId="0" applyFont="1" applyAlignment="1">
      <alignment horizontal="left" readingOrder="2"/>
    </xf>
    <xf numFmtId="10" fontId="3" fillId="0" borderId="4" xfId="2" applyNumberFormat="1" applyBorder="1"/>
    <xf numFmtId="0" fontId="1" fillId="4" borderId="0" xfId="2" applyFont="1" applyFill="1"/>
    <xf numFmtId="0" fontId="3" fillId="4" borderId="0" xfId="2" applyFill="1"/>
    <xf numFmtId="165" fontId="3" fillId="5" borderId="6" xfId="2" applyNumberFormat="1" applyFill="1" applyBorder="1"/>
    <xf numFmtId="165" fontId="0" fillId="6" borderId="10" xfId="1" applyNumberFormat="1" applyFont="1" applyFill="1" applyBorder="1"/>
    <xf numFmtId="165" fontId="1" fillId="0" borderId="10" xfId="2" applyNumberFormat="1" applyFont="1" applyBorder="1"/>
    <xf numFmtId="170" fontId="3" fillId="0" borderId="6" xfId="2" applyNumberFormat="1" applyBorder="1"/>
    <xf numFmtId="165" fontId="3" fillId="7" borderId="9" xfId="2" applyNumberFormat="1" applyFill="1" applyBorder="1"/>
    <xf numFmtId="165" fontId="3" fillId="7" borderId="2" xfId="2" applyNumberFormat="1" applyFill="1" applyBorder="1"/>
    <xf numFmtId="165" fontId="2" fillId="0" borderId="2" xfId="0" applyNumberFormat="1" applyFont="1" applyBorder="1" applyAlignment="1">
      <alignment horizontal="center"/>
    </xf>
    <xf numFmtId="0" fontId="12" fillId="0" borderId="0" xfId="2" applyFont="1"/>
    <xf numFmtId="165" fontId="3" fillId="0" borderId="0" xfId="2" applyNumberFormat="1" applyBorder="1"/>
  </cellXfs>
  <cellStyles count="6">
    <cellStyle name="Currency" xfId="4" builtinId="4"/>
    <cellStyle name="Currency 2" xfId="1" xr:uid="{00000000-0005-0000-0000-000001000000}"/>
    <cellStyle name="Normal" xfId="0" builtinId="0"/>
    <cellStyle name="Normal 2" xfId="2" xr:uid="{00000000-0005-0000-0000-000003000000}"/>
    <cellStyle name="Percent" xfId="5" builtinId="5"/>
    <cellStyle name="Percent 2" xfId="3" xr:uid="{00000000-0005-0000-0000-000005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$K$80" max="30000" page="10" val="50"/>
</file>

<file path=xl/ctrlProps/ctrlProp2.xml><?xml version="1.0" encoding="utf-8"?>
<formControlPr xmlns="http://schemas.microsoft.com/office/spreadsheetml/2009/9/main" objectType="Spin" dx="16" fmlaLink="#REF!" max="30000" page="10" val="50"/>
</file>

<file path=xl/ctrlProps/ctrlProp3.xml><?xml version="1.0" encoding="utf-8"?>
<formControlPr xmlns="http://schemas.microsoft.com/office/spreadsheetml/2009/9/main" objectType="Spin" dx="16" fmlaLink="$P$28" max="30000" page="10" val="50"/>
</file>

<file path=xl/ctrlProps/ctrlProp4.xml><?xml version="1.0" encoding="utf-8"?>
<formControlPr xmlns="http://schemas.microsoft.com/office/spreadsheetml/2009/9/main" objectType="Spin" dx="16" fmlaLink="$L$15" max="30000" page="10" val="50"/>
</file>

<file path=xl/ctrlProps/ctrlProp5.xml><?xml version="1.0" encoding="utf-8"?>
<formControlPr xmlns="http://schemas.microsoft.com/office/spreadsheetml/2009/9/main" objectType="Spin" dx="16" fmlaLink="$M$15" max="30000" page="10" val="50"/>
</file>

<file path=xl/ctrlProps/ctrlProp6.xml><?xml version="1.0" encoding="utf-8"?>
<formControlPr xmlns="http://schemas.microsoft.com/office/spreadsheetml/2009/9/main" objectType="Spin" dx="16" fmlaLink="$N$15" max="30000" page="10" val="50"/>
</file>

<file path=xl/ctrlProps/ctrlProp7.xml><?xml version="1.0" encoding="utf-8"?>
<formControlPr xmlns="http://schemas.microsoft.com/office/spreadsheetml/2009/9/main" objectType="Spin" dx="16" fmlaLink="$O$15" max="30000" page="10" val="50"/>
</file>

<file path=xl/ctrlProps/ctrlProp8.xml><?xml version="1.0" encoding="utf-8"?>
<formControlPr xmlns="http://schemas.microsoft.com/office/spreadsheetml/2009/9/main" objectType="Spin" dx="16" fmlaLink="$P$15" max="30000" page="10" val="50"/>
</file>

<file path=xl/ctrlProps/ctrlProp9.xml><?xml version="1.0" encoding="utf-8"?>
<formControlPr xmlns="http://schemas.microsoft.com/office/spreadsheetml/2009/9/main" objectType="Spin" dx="16" fmlaLink="$Q$15" max="30000" page="10" val="55"/>
</file>

<file path=xl/ctrlProps/ctrlProp10.xml><?xml version="1.0" encoding="utf-8"?>
<formControlPr xmlns="http://schemas.microsoft.com/office/spreadsheetml/2009/9/main" objectType="Spin" dx="16" fmlaLink="$L$16" max="30000" page="10" val="50"/>
</file>

<file path=xl/ctrlProps/ctrlProp11.xml><?xml version="1.0" encoding="utf-8"?>
<formControlPr xmlns="http://schemas.microsoft.com/office/spreadsheetml/2009/9/main" objectType="Spin" dx="16" fmlaLink="$M$16" max="30000" page="10" val="50"/>
</file>

<file path=xl/ctrlProps/ctrlProp12.xml><?xml version="1.0" encoding="utf-8"?>
<formControlPr xmlns="http://schemas.microsoft.com/office/spreadsheetml/2009/9/main" objectType="Spin" dx="16" fmlaLink="$N$16" max="30000" page="10" val="50"/>
</file>

<file path=xl/ctrlProps/ctrlProp13.xml><?xml version="1.0" encoding="utf-8"?>
<formControlPr xmlns="http://schemas.microsoft.com/office/spreadsheetml/2009/9/main" objectType="Spin" dx="16" fmlaLink="$O$16" max="30000" page="10" val="50"/>
</file>

<file path=xl/ctrlProps/ctrlProp14.xml><?xml version="1.0" encoding="utf-8"?>
<formControlPr xmlns="http://schemas.microsoft.com/office/spreadsheetml/2009/9/main" objectType="Spin" dx="16" fmlaLink="$P$16" max="30000" page="10" val="50"/>
</file>

<file path=xl/ctrlProps/ctrlProp15.xml><?xml version="1.0" encoding="utf-8"?>
<formControlPr xmlns="http://schemas.microsoft.com/office/spreadsheetml/2009/9/main" objectType="Spin" dx="16" fmlaLink="$Q$16" max="30000" page="10" val="50"/>
</file>

<file path=xl/ctrlProps/ctrlProp16.xml><?xml version="1.0" encoding="utf-8"?>
<formControlPr xmlns="http://schemas.microsoft.com/office/spreadsheetml/2009/9/main" objectType="Spin" dx="16" fmlaLink="$L$18" max="30000" page="10" val="50"/>
</file>

<file path=xl/ctrlProps/ctrlProp17.xml><?xml version="1.0" encoding="utf-8"?>
<formControlPr xmlns="http://schemas.microsoft.com/office/spreadsheetml/2009/9/main" objectType="Spin" dx="16" fmlaLink="$M$18" max="30000" page="10" val="50"/>
</file>

<file path=xl/ctrlProps/ctrlProp18.xml><?xml version="1.0" encoding="utf-8"?>
<formControlPr xmlns="http://schemas.microsoft.com/office/spreadsheetml/2009/9/main" objectType="Spin" dx="16" fmlaLink="$N$18" max="30000" page="10" val="50"/>
</file>

<file path=xl/ctrlProps/ctrlProp19.xml><?xml version="1.0" encoding="utf-8"?>
<formControlPr xmlns="http://schemas.microsoft.com/office/spreadsheetml/2009/9/main" objectType="Spin" dx="16" fmlaLink="$O$18" max="30000" page="10" val="50"/>
</file>

<file path=xl/ctrlProps/ctrlProp20.xml><?xml version="1.0" encoding="utf-8"?>
<formControlPr xmlns="http://schemas.microsoft.com/office/spreadsheetml/2009/9/main" objectType="Spin" dx="16" fmlaLink="$P$18" max="30000" page="10" val="50"/>
</file>

<file path=xl/ctrlProps/ctrlProp21.xml><?xml version="1.0" encoding="utf-8"?>
<formControlPr xmlns="http://schemas.microsoft.com/office/spreadsheetml/2009/9/main" objectType="Spin" dx="16" fmlaLink="$Q$18" max="30000" page="10" val="50"/>
</file>

<file path=xl/ctrlProps/ctrlProp22.xml><?xml version="1.0" encoding="utf-8"?>
<formControlPr xmlns="http://schemas.microsoft.com/office/spreadsheetml/2009/9/main" objectType="Spin" dx="16" fmlaLink="$L$27" max="30000" page="10" val="50"/>
</file>

<file path=xl/ctrlProps/ctrlProp23.xml><?xml version="1.0" encoding="utf-8"?>
<formControlPr xmlns="http://schemas.microsoft.com/office/spreadsheetml/2009/9/main" objectType="Spin" dx="16" fmlaLink="$M$27" max="30000" page="10" val="50"/>
</file>

<file path=xl/ctrlProps/ctrlProp24.xml><?xml version="1.0" encoding="utf-8"?>
<formControlPr xmlns="http://schemas.microsoft.com/office/spreadsheetml/2009/9/main" objectType="Spin" dx="16" fmlaLink="$N$27" max="30000" page="10" val="50"/>
</file>

<file path=xl/ctrlProps/ctrlProp25.xml><?xml version="1.0" encoding="utf-8"?>
<formControlPr xmlns="http://schemas.microsoft.com/office/spreadsheetml/2009/9/main" objectType="Spin" dx="16" fmlaLink="$O$27" max="30000" page="10" val="50"/>
</file>

<file path=xl/ctrlProps/ctrlProp26.xml><?xml version="1.0" encoding="utf-8"?>
<formControlPr xmlns="http://schemas.microsoft.com/office/spreadsheetml/2009/9/main" objectType="Spin" dx="16" fmlaLink="$P$27" max="30000" page="10" val="50"/>
</file>

<file path=xl/ctrlProps/ctrlProp27.xml><?xml version="1.0" encoding="utf-8"?>
<formControlPr xmlns="http://schemas.microsoft.com/office/spreadsheetml/2009/9/main" objectType="Spin" dx="16" fmlaLink="$L$29" max="30000" page="10" val="50"/>
</file>

<file path=xl/ctrlProps/ctrlProp28.xml><?xml version="1.0" encoding="utf-8"?>
<formControlPr xmlns="http://schemas.microsoft.com/office/spreadsheetml/2009/9/main" objectType="Spin" dx="16" fmlaLink="$M$29" max="30000" page="10" val="50"/>
</file>

<file path=xl/ctrlProps/ctrlProp29.xml><?xml version="1.0" encoding="utf-8"?>
<formControlPr xmlns="http://schemas.microsoft.com/office/spreadsheetml/2009/9/main" objectType="Spin" dx="16" fmlaLink="$N$29" max="30000" page="10" val="50"/>
</file>

<file path=xl/ctrlProps/ctrlProp30.xml><?xml version="1.0" encoding="utf-8"?>
<formControlPr xmlns="http://schemas.microsoft.com/office/spreadsheetml/2009/9/main" objectType="Spin" dx="16" fmlaLink="$O$29" max="30000" page="10" val="50"/>
</file>

<file path=xl/ctrlProps/ctrlProp31.xml><?xml version="1.0" encoding="utf-8"?>
<formControlPr xmlns="http://schemas.microsoft.com/office/spreadsheetml/2009/9/main" objectType="Spin" dx="16" fmlaLink="$P$29" max="30000" page="10" val="50"/>
</file>

<file path=xl/ctrlProps/ctrlProp32.xml><?xml version="1.0" encoding="utf-8"?>
<formControlPr xmlns="http://schemas.microsoft.com/office/spreadsheetml/2009/9/main" objectType="Spin" dx="16" fmlaLink="$Q$29" max="30000" page="10" val="50"/>
</file>

<file path=xl/ctrlProps/ctrlProp33.xml><?xml version="1.0" encoding="utf-8"?>
<formControlPr xmlns="http://schemas.microsoft.com/office/spreadsheetml/2009/9/main" objectType="Spin" dx="16" fmlaLink="$L$32" max="30000" page="10" val="50"/>
</file>

<file path=xl/ctrlProps/ctrlProp34.xml><?xml version="1.0" encoding="utf-8"?>
<formControlPr xmlns="http://schemas.microsoft.com/office/spreadsheetml/2009/9/main" objectType="Spin" dx="16" fmlaLink="$M$32" max="30000" page="10" val="50"/>
</file>

<file path=xl/ctrlProps/ctrlProp35.xml><?xml version="1.0" encoding="utf-8"?>
<formControlPr xmlns="http://schemas.microsoft.com/office/spreadsheetml/2009/9/main" objectType="Spin" dx="16" fmlaLink="$N$32" max="30000" page="10" val="50"/>
</file>

<file path=xl/ctrlProps/ctrlProp36.xml><?xml version="1.0" encoding="utf-8"?>
<formControlPr xmlns="http://schemas.microsoft.com/office/spreadsheetml/2009/9/main" objectType="Spin" dx="16" fmlaLink="$O$32" max="30000" page="10" val="50"/>
</file>

<file path=xl/ctrlProps/ctrlProp37.xml><?xml version="1.0" encoding="utf-8"?>
<formControlPr xmlns="http://schemas.microsoft.com/office/spreadsheetml/2009/9/main" objectType="Spin" dx="16" fmlaLink="$P$32" max="30000" page="10" val="50"/>
</file>

<file path=xl/ctrlProps/ctrlProp38.xml><?xml version="1.0" encoding="utf-8"?>
<formControlPr xmlns="http://schemas.microsoft.com/office/spreadsheetml/2009/9/main" objectType="Radio" checked="Checked" firstButton="1" fmlaLink="$C$4" lockText="1"/>
</file>

<file path=xl/ctrlProps/ctrlProp39.xml><?xml version="1.0" encoding="utf-8"?>
<formControlPr xmlns="http://schemas.microsoft.com/office/spreadsheetml/2009/9/main" objectType="Radio" lockText="1"/>
</file>

<file path=xl/ctrlProps/ctrlProp40.xml><?xml version="1.0" encoding="utf-8"?>
<formControlPr xmlns="http://schemas.microsoft.com/office/spreadsheetml/2009/9/main" objectType="GBox" noThreeD="1"/>
</file>

<file path=xl/ctrlProps/ctrlProp41.xml><?xml version="1.0" encoding="utf-8"?>
<formControlPr xmlns="http://schemas.microsoft.com/office/spreadsheetml/2009/9/main" objectType="Spin" dx="16" fmlaLink="#REF!" max="30000" page="10" val="0"/>
</file>

<file path=xl/ctrlProps/ctrlProp42.xml><?xml version="1.0" encoding="utf-8"?>
<formControlPr xmlns="http://schemas.microsoft.com/office/spreadsheetml/2009/9/main" objectType="Spin" dx="16" fmlaLink="$K$8" max="30000" page="10" val="30"/>
</file>

<file path=xl/ctrlProps/ctrlProp43.xml><?xml version="1.0" encoding="utf-8"?>
<formControlPr xmlns="http://schemas.microsoft.com/office/spreadsheetml/2009/9/main" objectType="Spin" dx="16" fmlaLink="$K$7" max="30000" page="10" val="100"/>
</file>

<file path=xl/ctrlProps/ctrlProp44.xml><?xml version="1.0" encoding="utf-8"?>
<formControlPr xmlns="http://schemas.microsoft.com/office/spreadsheetml/2009/9/main" objectType="Spin" dx="16" fmlaLink="$K$6" max="30000" page="10" val="40"/>
</file>

<file path=xl/ctrlProps/ctrlProp45.xml><?xml version="1.0" encoding="utf-8"?>
<formControlPr xmlns="http://schemas.microsoft.com/office/spreadsheetml/2009/9/main" objectType="Spin" dx="16" fmlaLink="$K$5" max="30000" page="10" val="50"/>
</file>

<file path=xl/ctrlProps/ctrlProp46.xml><?xml version="1.0" encoding="utf-8"?>
<formControlPr xmlns="http://schemas.microsoft.com/office/spreadsheetml/2009/9/main" objectType="Spin" dx="16" fmlaLink="$K$9" max="30000" page="10" val="50"/>
</file>

<file path=xl/ctrlProps/ctrlProp47.xml><?xml version="1.0" encoding="utf-8"?>
<formControlPr xmlns="http://schemas.microsoft.com/office/spreadsheetml/2009/9/main" objectType="Radio" checked="Checked" firstButton="1" fmlaLink="$C$10" lockText="1"/>
</file>

<file path=xl/ctrlProps/ctrlProp48.xml><?xml version="1.0" encoding="utf-8"?>
<formControlPr xmlns="http://schemas.microsoft.com/office/spreadsheetml/2009/9/main" objectType="Radio" lockText="1"/>
</file>

<file path=xl/ctrlProps/ctrlProp49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3</xdr:row>
          <xdr:rowOff>137160</xdr:rowOff>
        </xdr:from>
        <xdr:to>
          <xdr:col>1</xdr:col>
          <xdr:colOff>441960</xdr:colOff>
          <xdr:row>3</xdr:row>
          <xdr:rowOff>358140</xdr:rowOff>
        </xdr:to>
        <xdr:sp macro="" textlink="">
          <xdr:nvSpPr>
            <xdr:cNvPr id="3073" name="Option 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9525">
              <a:solidFill>
                <a:srgbClr val="993366" mc:Ignorable="a14" a14:legacySpreadsheetColorIndex="61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Firm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441960</xdr:colOff>
          <xdr:row>3</xdr:row>
          <xdr:rowOff>137160</xdr:rowOff>
        </xdr:from>
        <xdr:to>
          <xdr:col>2</xdr:col>
          <xdr:colOff>251460</xdr:colOff>
          <xdr:row>3</xdr:row>
          <xdr:rowOff>358140</xdr:rowOff>
        </xdr:to>
        <xdr:sp macro="" textlink="">
          <xdr:nvSpPr>
            <xdr:cNvPr id="3074" name="Option 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9525">
              <a:solidFill>
                <a:srgbClr val="993366" mc:Ignorable="a14" a14:legacySpreadsheetColorIndex="61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Project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53340</xdr:rowOff>
        </xdr:from>
        <xdr:to>
          <xdr:col>2</xdr:col>
          <xdr:colOff>259080</xdr:colOff>
          <xdr:row>4</xdr:row>
          <xdr:rowOff>0</xdr:rowOff>
        </xdr:to>
        <xdr:sp macro="" textlink="">
          <xdr:nvSpPr>
            <xdr:cNvPr id="3075" name="Group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Valuation Object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79</xdr:row>
          <xdr:rowOff>22860</xdr:rowOff>
        </xdr:from>
        <xdr:to>
          <xdr:col>1</xdr:col>
          <xdr:colOff>182880</xdr:colOff>
          <xdr:row>79</xdr:row>
          <xdr:rowOff>152400</xdr:rowOff>
        </xdr:to>
        <xdr:sp macro="" textlink="">
          <xdr:nvSpPr>
            <xdr:cNvPr id="3122" name="Spinner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9</xdr:row>
          <xdr:rowOff>0</xdr:rowOff>
        </xdr:from>
        <xdr:to>
          <xdr:col>1</xdr:col>
          <xdr:colOff>182880</xdr:colOff>
          <xdr:row>9</xdr:row>
          <xdr:rowOff>0</xdr:rowOff>
        </xdr:to>
        <xdr:sp macro="" textlink="">
          <xdr:nvSpPr>
            <xdr:cNvPr id="3124" name="Spinner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87</xdr:row>
          <xdr:rowOff>0</xdr:rowOff>
        </xdr:from>
        <xdr:to>
          <xdr:col>1</xdr:col>
          <xdr:colOff>152400</xdr:colOff>
          <xdr:row>87</xdr:row>
          <xdr:rowOff>0</xdr:rowOff>
        </xdr:to>
        <xdr:sp macro="" textlink="">
          <xdr:nvSpPr>
            <xdr:cNvPr id="3125" name="Spinner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27</xdr:row>
          <xdr:rowOff>22860</xdr:rowOff>
        </xdr:from>
        <xdr:to>
          <xdr:col>6</xdr:col>
          <xdr:colOff>182880</xdr:colOff>
          <xdr:row>27</xdr:row>
          <xdr:rowOff>152400</xdr:rowOff>
        </xdr:to>
        <xdr:sp macro="" textlink="">
          <xdr:nvSpPr>
            <xdr:cNvPr id="3126" name="Spinner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9</xdr:row>
          <xdr:rowOff>137160</xdr:rowOff>
        </xdr:from>
        <xdr:to>
          <xdr:col>1</xdr:col>
          <xdr:colOff>510540</xdr:colOff>
          <xdr:row>10</xdr:row>
          <xdr:rowOff>0</xdr:rowOff>
        </xdr:to>
        <xdr:sp macro="" textlink="">
          <xdr:nvSpPr>
            <xdr:cNvPr id="3127" name="Option Button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9525">
              <a:solidFill>
                <a:srgbClr val="993366" mc:Ignorable="a14" a14:legacySpreadsheetColorIndex="61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510540</xdr:colOff>
          <xdr:row>9</xdr:row>
          <xdr:rowOff>137160</xdr:rowOff>
        </xdr:from>
        <xdr:to>
          <xdr:col>2</xdr:col>
          <xdr:colOff>205740</xdr:colOff>
          <xdr:row>10</xdr:row>
          <xdr:rowOff>0</xdr:rowOff>
        </xdr:to>
        <xdr:sp macro="" textlink="">
          <xdr:nvSpPr>
            <xdr:cNvPr id="3128" name="Option Butto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 w="9525">
              <a:solidFill>
                <a:srgbClr val="993366" mc:Ignorable="a14" a14:legacySpreadsheetColorIndex="61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53340</xdr:rowOff>
        </xdr:from>
        <xdr:to>
          <xdr:col>2</xdr:col>
          <xdr:colOff>213360</xdr:colOff>
          <xdr:row>10</xdr:row>
          <xdr:rowOff>7620</xdr:rowOff>
        </xdr:to>
        <xdr:sp macro="" textlink="">
          <xdr:nvSpPr>
            <xdr:cNvPr id="3129" name="Group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Infinite Horizon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7</xdr:row>
          <xdr:rowOff>22860</xdr:rowOff>
        </xdr:from>
        <xdr:to>
          <xdr:col>1</xdr:col>
          <xdr:colOff>182880</xdr:colOff>
          <xdr:row>7</xdr:row>
          <xdr:rowOff>152400</xdr:rowOff>
        </xdr:to>
        <xdr:sp macro="" textlink="">
          <xdr:nvSpPr>
            <xdr:cNvPr id="3133" name="Spinner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0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6</xdr:row>
          <xdr:rowOff>22860</xdr:rowOff>
        </xdr:from>
        <xdr:to>
          <xdr:col>1</xdr:col>
          <xdr:colOff>182880</xdr:colOff>
          <xdr:row>6</xdr:row>
          <xdr:rowOff>152400</xdr:rowOff>
        </xdr:to>
        <xdr:sp macro="" textlink="">
          <xdr:nvSpPr>
            <xdr:cNvPr id="3134" name="Spinner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5</xdr:row>
          <xdr:rowOff>22860</xdr:rowOff>
        </xdr:from>
        <xdr:to>
          <xdr:col>1</xdr:col>
          <xdr:colOff>182880</xdr:colOff>
          <xdr:row>5</xdr:row>
          <xdr:rowOff>152400</xdr:rowOff>
        </xdr:to>
        <xdr:sp macro="" textlink="">
          <xdr:nvSpPr>
            <xdr:cNvPr id="3135" name="Spinner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4</xdr:row>
          <xdr:rowOff>22860</xdr:rowOff>
        </xdr:from>
        <xdr:to>
          <xdr:col>1</xdr:col>
          <xdr:colOff>182880</xdr:colOff>
          <xdr:row>4</xdr:row>
          <xdr:rowOff>152400</xdr:rowOff>
        </xdr:to>
        <xdr:sp macro="" textlink="">
          <xdr:nvSpPr>
            <xdr:cNvPr id="3136" name="Spinner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8</xdr:row>
          <xdr:rowOff>22860</xdr:rowOff>
        </xdr:from>
        <xdr:to>
          <xdr:col>1</xdr:col>
          <xdr:colOff>182880</xdr:colOff>
          <xdr:row>8</xdr:row>
          <xdr:rowOff>152400</xdr:rowOff>
        </xdr:to>
        <xdr:sp macro="" textlink="">
          <xdr:nvSpPr>
            <xdr:cNvPr id="3137" name="Spinner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14</xdr:row>
          <xdr:rowOff>22860</xdr:rowOff>
        </xdr:from>
        <xdr:to>
          <xdr:col>2</xdr:col>
          <xdr:colOff>182880</xdr:colOff>
          <xdr:row>14</xdr:row>
          <xdr:rowOff>152400</xdr:rowOff>
        </xdr:to>
        <xdr:sp macro="" textlink="">
          <xdr:nvSpPr>
            <xdr:cNvPr id="3152" name="Spinner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14</xdr:row>
          <xdr:rowOff>22860</xdr:rowOff>
        </xdr:from>
        <xdr:to>
          <xdr:col>3</xdr:col>
          <xdr:colOff>182880</xdr:colOff>
          <xdr:row>14</xdr:row>
          <xdr:rowOff>152400</xdr:rowOff>
        </xdr:to>
        <xdr:sp macro="" textlink="">
          <xdr:nvSpPr>
            <xdr:cNvPr id="3153" name="Spinner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</xdr:colOff>
          <xdr:row>14</xdr:row>
          <xdr:rowOff>22860</xdr:rowOff>
        </xdr:from>
        <xdr:to>
          <xdr:col>4</xdr:col>
          <xdr:colOff>182880</xdr:colOff>
          <xdr:row>14</xdr:row>
          <xdr:rowOff>152400</xdr:rowOff>
        </xdr:to>
        <xdr:sp macro="" textlink="">
          <xdr:nvSpPr>
            <xdr:cNvPr id="3154" name="Spinner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14</xdr:row>
          <xdr:rowOff>22860</xdr:rowOff>
        </xdr:from>
        <xdr:to>
          <xdr:col>5</xdr:col>
          <xdr:colOff>182880</xdr:colOff>
          <xdr:row>14</xdr:row>
          <xdr:rowOff>152400</xdr:rowOff>
        </xdr:to>
        <xdr:sp macro="" textlink="">
          <xdr:nvSpPr>
            <xdr:cNvPr id="3155" name="Spinner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0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14</xdr:row>
          <xdr:rowOff>22860</xdr:rowOff>
        </xdr:from>
        <xdr:to>
          <xdr:col>6</xdr:col>
          <xdr:colOff>182880</xdr:colOff>
          <xdr:row>14</xdr:row>
          <xdr:rowOff>152400</xdr:rowOff>
        </xdr:to>
        <xdr:sp macro="" textlink="">
          <xdr:nvSpPr>
            <xdr:cNvPr id="3156" name="Spinner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</xdr:colOff>
          <xdr:row>14</xdr:row>
          <xdr:rowOff>22860</xdr:rowOff>
        </xdr:from>
        <xdr:to>
          <xdr:col>7</xdr:col>
          <xdr:colOff>182880</xdr:colOff>
          <xdr:row>14</xdr:row>
          <xdr:rowOff>152400</xdr:rowOff>
        </xdr:to>
        <xdr:sp macro="" textlink="">
          <xdr:nvSpPr>
            <xdr:cNvPr id="3157" name="Spinner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15</xdr:row>
          <xdr:rowOff>22860</xdr:rowOff>
        </xdr:from>
        <xdr:to>
          <xdr:col>2</xdr:col>
          <xdr:colOff>182880</xdr:colOff>
          <xdr:row>15</xdr:row>
          <xdr:rowOff>152400</xdr:rowOff>
        </xdr:to>
        <xdr:sp macro="" textlink="">
          <xdr:nvSpPr>
            <xdr:cNvPr id="3158" name="Spinner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15</xdr:row>
          <xdr:rowOff>22860</xdr:rowOff>
        </xdr:from>
        <xdr:to>
          <xdr:col>3</xdr:col>
          <xdr:colOff>182880</xdr:colOff>
          <xdr:row>15</xdr:row>
          <xdr:rowOff>152400</xdr:rowOff>
        </xdr:to>
        <xdr:sp macro="" textlink="">
          <xdr:nvSpPr>
            <xdr:cNvPr id="3159" name="Spinner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</xdr:colOff>
          <xdr:row>15</xdr:row>
          <xdr:rowOff>22860</xdr:rowOff>
        </xdr:from>
        <xdr:to>
          <xdr:col>4</xdr:col>
          <xdr:colOff>182880</xdr:colOff>
          <xdr:row>15</xdr:row>
          <xdr:rowOff>152400</xdr:rowOff>
        </xdr:to>
        <xdr:sp macro="" textlink="">
          <xdr:nvSpPr>
            <xdr:cNvPr id="3160" name="Spinner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15</xdr:row>
          <xdr:rowOff>22860</xdr:rowOff>
        </xdr:from>
        <xdr:to>
          <xdr:col>5</xdr:col>
          <xdr:colOff>182880</xdr:colOff>
          <xdr:row>15</xdr:row>
          <xdr:rowOff>152400</xdr:rowOff>
        </xdr:to>
        <xdr:sp macro="" textlink="">
          <xdr:nvSpPr>
            <xdr:cNvPr id="3161" name="Spinner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15</xdr:row>
          <xdr:rowOff>22860</xdr:rowOff>
        </xdr:from>
        <xdr:to>
          <xdr:col>6</xdr:col>
          <xdr:colOff>182880</xdr:colOff>
          <xdr:row>15</xdr:row>
          <xdr:rowOff>152400</xdr:rowOff>
        </xdr:to>
        <xdr:sp macro="" textlink="">
          <xdr:nvSpPr>
            <xdr:cNvPr id="3162" name="Spinner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</xdr:colOff>
          <xdr:row>15</xdr:row>
          <xdr:rowOff>22860</xdr:rowOff>
        </xdr:from>
        <xdr:to>
          <xdr:col>7</xdr:col>
          <xdr:colOff>182880</xdr:colOff>
          <xdr:row>15</xdr:row>
          <xdr:rowOff>152400</xdr:rowOff>
        </xdr:to>
        <xdr:sp macro="" textlink="">
          <xdr:nvSpPr>
            <xdr:cNvPr id="3163" name="Spinner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17</xdr:row>
          <xdr:rowOff>22860</xdr:rowOff>
        </xdr:from>
        <xdr:to>
          <xdr:col>2</xdr:col>
          <xdr:colOff>182880</xdr:colOff>
          <xdr:row>17</xdr:row>
          <xdr:rowOff>152400</xdr:rowOff>
        </xdr:to>
        <xdr:sp macro="" textlink="">
          <xdr:nvSpPr>
            <xdr:cNvPr id="3164" name="Spinner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17</xdr:row>
          <xdr:rowOff>22860</xdr:rowOff>
        </xdr:from>
        <xdr:to>
          <xdr:col>3</xdr:col>
          <xdr:colOff>182880</xdr:colOff>
          <xdr:row>17</xdr:row>
          <xdr:rowOff>152400</xdr:rowOff>
        </xdr:to>
        <xdr:sp macro="" textlink="">
          <xdr:nvSpPr>
            <xdr:cNvPr id="3165" name="Spinner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</xdr:colOff>
          <xdr:row>17</xdr:row>
          <xdr:rowOff>22860</xdr:rowOff>
        </xdr:from>
        <xdr:to>
          <xdr:col>4</xdr:col>
          <xdr:colOff>182880</xdr:colOff>
          <xdr:row>17</xdr:row>
          <xdr:rowOff>152400</xdr:rowOff>
        </xdr:to>
        <xdr:sp macro="" textlink="">
          <xdr:nvSpPr>
            <xdr:cNvPr id="3166" name="Spinner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17</xdr:row>
          <xdr:rowOff>22860</xdr:rowOff>
        </xdr:from>
        <xdr:to>
          <xdr:col>5</xdr:col>
          <xdr:colOff>182880</xdr:colOff>
          <xdr:row>17</xdr:row>
          <xdr:rowOff>152400</xdr:rowOff>
        </xdr:to>
        <xdr:sp macro="" textlink="">
          <xdr:nvSpPr>
            <xdr:cNvPr id="3167" name="Spinner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17</xdr:row>
          <xdr:rowOff>22860</xdr:rowOff>
        </xdr:from>
        <xdr:to>
          <xdr:col>6</xdr:col>
          <xdr:colOff>182880</xdr:colOff>
          <xdr:row>17</xdr:row>
          <xdr:rowOff>152400</xdr:rowOff>
        </xdr:to>
        <xdr:sp macro="" textlink="">
          <xdr:nvSpPr>
            <xdr:cNvPr id="3168" name="Spinner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</xdr:colOff>
          <xdr:row>17</xdr:row>
          <xdr:rowOff>22860</xdr:rowOff>
        </xdr:from>
        <xdr:to>
          <xdr:col>7</xdr:col>
          <xdr:colOff>182880</xdr:colOff>
          <xdr:row>17</xdr:row>
          <xdr:rowOff>152400</xdr:rowOff>
        </xdr:to>
        <xdr:sp macro="" textlink="">
          <xdr:nvSpPr>
            <xdr:cNvPr id="3169" name="Spinner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0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26</xdr:row>
          <xdr:rowOff>22860</xdr:rowOff>
        </xdr:from>
        <xdr:to>
          <xdr:col>2</xdr:col>
          <xdr:colOff>182880</xdr:colOff>
          <xdr:row>26</xdr:row>
          <xdr:rowOff>152400</xdr:rowOff>
        </xdr:to>
        <xdr:sp macro="" textlink="">
          <xdr:nvSpPr>
            <xdr:cNvPr id="3170" name="Spinner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0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26</xdr:row>
          <xdr:rowOff>22860</xdr:rowOff>
        </xdr:from>
        <xdr:to>
          <xdr:col>3</xdr:col>
          <xdr:colOff>182880</xdr:colOff>
          <xdr:row>26</xdr:row>
          <xdr:rowOff>152400</xdr:rowOff>
        </xdr:to>
        <xdr:sp macro="" textlink="">
          <xdr:nvSpPr>
            <xdr:cNvPr id="3171" name="Spinner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0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</xdr:colOff>
          <xdr:row>26</xdr:row>
          <xdr:rowOff>22860</xdr:rowOff>
        </xdr:from>
        <xdr:to>
          <xdr:col>4</xdr:col>
          <xdr:colOff>182880</xdr:colOff>
          <xdr:row>26</xdr:row>
          <xdr:rowOff>152400</xdr:rowOff>
        </xdr:to>
        <xdr:sp macro="" textlink="">
          <xdr:nvSpPr>
            <xdr:cNvPr id="3172" name="Spinner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0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26</xdr:row>
          <xdr:rowOff>22860</xdr:rowOff>
        </xdr:from>
        <xdr:to>
          <xdr:col>5</xdr:col>
          <xdr:colOff>182880</xdr:colOff>
          <xdr:row>26</xdr:row>
          <xdr:rowOff>152400</xdr:rowOff>
        </xdr:to>
        <xdr:sp macro="" textlink="">
          <xdr:nvSpPr>
            <xdr:cNvPr id="3173" name="Spinner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0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26</xdr:row>
          <xdr:rowOff>22860</xdr:rowOff>
        </xdr:from>
        <xdr:to>
          <xdr:col>6</xdr:col>
          <xdr:colOff>182880</xdr:colOff>
          <xdr:row>26</xdr:row>
          <xdr:rowOff>152400</xdr:rowOff>
        </xdr:to>
        <xdr:sp macro="" textlink="">
          <xdr:nvSpPr>
            <xdr:cNvPr id="3174" name="Spinner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0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28</xdr:row>
          <xdr:rowOff>22860</xdr:rowOff>
        </xdr:from>
        <xdr:to>
          <xdr:col>2</xdr:col>
          <xdr:colOff>182880</xdr:colOff>
          <xdr:row>28</xdr:row>
          <xdr:rowOff>152400</xdr:rowOff>
        </xdr:to>
        <xdr:sp macro="" textlink="">
          <xdr:nvSpPr>
            <xdr:cNvPr id="3176" name="Spinner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0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28</xdr:row>
          <xdr:rowOff>22860</xdr:rowOff>
        </xdr:from>
        <xdr:to>
          <xdr:col>3</xdr:col>
          <xdr:colOff>182880</xdr:colOff>
          <xdr:row>28</xdr:row>
          <xdr:rowOff>152400</xdr:rowOff>
        </xdr:to>
        <xdr:sp macro="" textlink="">
          <xdr:nvSpPr>
            <xdr:cNvPr id="3177" name="Spinner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0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</xdr:colOff>
          <xdr:row>28</xdr:row>
          <xdr:rowOff>22860</xdr:rowOff>
        </xdr:from>
        <xdr:to>
          <xdr:col>4</xdr:col>
          <xdr:colOff>182880</xdr:colOff>
          <xdr:row>28</xdr:row>
          <xdr:rowOff>152400</xdr:rowOff>
        </xdr:to>
        <xdr:sp macro="" textlink="">
          <xdr:nvSpPr>
            <xdr:cNvPr id="3178" name="Spinner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0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28</xdr:row>
          <xdr:rowOff>22860</xdr:rowOff>
        </xdr:from>
        <xdr:to>
          <xdr:col>5</xdr:col>
          <xdr:colOff>182880</xdr:colOff>
          <xdr:row>28</xdr:row>
          <xdr:rowOff>152400</xdr:rowOff>
        </xdr:to>
        <xdr:sp macro="" textlink="">
          <xdr:nvSpPr>
            <xdr:cNvPr id="3179" name="Spinner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0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28</xdr:row>
          <xdr:rowOff>22860</xdr:rowOff>
        </xdr:from>
        <xdr:to>
          <xdr:col>6</xdr:col>
          <xdr:colOff>182880</xdr:colOff>
          <xdr:row>28</xdr:row>
          <xdr:rowOff>152400</xdr:rowOff>
        </xdr:to>
        <xdr:sp macro="" textlink="">
          <xdr:nvSpPr>
            <xdr:cNvPr id="3180" name="Spinner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0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</xdr:colOff>
          <xdr:row>28</xdr:row>
          <xdr:rowOff>22860</xdr:rowOff>
        </xdr:from>
        <xdr:to>
          <xdr:col>7</xdr:col>
          <xdr:colOff>182880</xdr:colOff>
          <xdr:row>28</xdr:row>
          <xdr:rowOff>152400</xdr:rowOff>
        </xdr:to>
        <xdr:sp macro="" textlink="">
          <xdr:nvSpPr>
            <xdr:cNvPr id="3181" name="Spinner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0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</xdr:colOff>
          <xdr:row>31</xdr:row>
          <xdr:rowOff>22860</xdr:rowOff>
        </xdr:from>
        <xdr:to>
          <xdr:col>2</xdr:col>
          <xdr:colOff>182880</xdr:colOff>
          <xdr:row>31</xdr:row>
          <xdr:rowOff>152400</xdr:rowOff>
        </xdr:to>
        <xdr:sp macro="" textlink="">
          <xdr:nvSpPr>
            <xdr:cNvPr id="3182" name="Spinner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0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31</xdr:row>
          <xdr:rowOff>22860</xdr:rowOff>
        </xdr:from>
        <xdr:to>
          <xdr:col>3</xdr:col>
          <xdr:colOff>182880</xdr:colOff>
          <xdr:row>31</xdr:row>
          <xdr:rowOff>152400</xdr:rowOff>
        </xdr:to>
        <xdr:sp macro="" textlink="">
          <xdr:nvSpPr>
            <xdr:cNvPr id="3183" name="Spinner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0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</xdr:colOff>
          <xdr:row>31</xdr:row>
          <xdr:rowOff>22860</xdr:rowOff>
        </xdr:from>
        <xdr:to>
          <xdr:col>4</xdr:col>
          <xdr:colOff>182880</xdr:colOff>
          <xdr:row>31</xdr:row>
          <xdr:rowOff>152400</xdr:rowOff>
        </xdr:to>
        <xdr:sp macro="" textlink="">
          <xdr:nvSpPr>
            <xdr:cNvPr id="3184" name="Spinner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0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15240</xdr:colOff>
          <xdr:row>31</xdr:row>
          <xdr:rowOff>22860</xdr:rowOff>
        </xdr:from>
        <xdr:to>
          <xdr:col>5</xdr:col>
          <xdr:colOff>182880</xdr:colOff>
          <xdr:row>31</xdr:row>
          <xdr:rowOff>152400</xdr:rowOff>
        </xdr:to>
        <xdr:sp macro="" textlink="">
          <xdr:nvSpPr>
            <xdr:cNvPr id="3185" name="Spinner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0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</xdr:colOff>
          <xdr:row>31</xdr:row>
          <xdr:rowOff>22860</xdr:rowOff>
        </xdr:from>
        <xdr:to>
          <xdr:col>6</xdr:col>
          <xdr:colOff>182880</xdr:colOff>
          <xdr:row>31</xdr:row>
          <xdr:rowOff>152400</xdr:rowOff>
        </xdr:to>
        <xdr:sp macro="" textlink="">
          <xdr:nvSpPr>
            <xdr:cNvPr id="3186" name="Spinner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0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45"/>
  <sheetViews>
    <sheetView showGridLines="0" tabSelected="1" zoomScale="97" zoomScaleNormal="80" workbookViewId="0">
      <pane ySplit="10" topLeftCell="A11" activePane="bottomLeft" state="frozen"/>
      <selection pane="bottomLeft" activeCell="K55" sqref="K55"/>
    </sheetView>
  </sheetViews>
  <sheetFormatPr defaultColWidth="9.21875" defaultRowHeight="13.2" x14ac:dyDescent="0.25"/>
  <cols>
    <col min="1" max="1" width="31.21875" style="1" customWidth="1"/>
    <col min="2" max="3" width="11.21875" style="1" customWidth="1"/>
    <col min="4" max="4" width="12.44140625" style="1" customWidth="1"/>
    <col min="5" max="8" width="11.21875" style="1" customWidth="1"/>
    <col min="9" max="9" width="9.77734375" style="1" customWidth="1"/>
    <col min="10" max="16384" width="9.21875" style="1"/>
  </cols>
  <sheetData>
    <row r="1" spans="1:18" ht="24.6" x14ac:dyDescent="0.25">
      <c r="A1" s="20" t="s">
        <v>40</v>
      </c>
      <c r="D1" s="21" t="s">
        <v>62</v>
      </c>
    </row>
    <row r="3" spans="1:18" x14ac:dyDescent="0.25">
      <c r="A3" s="12" t="s">
        <v>0</v>
      </c>
    </row>
    <row r="4" spans="1:18" ht="28.5" customHeight="1" x14ac:dyDescent="0.25">
      <c r="A4" s="19" t="s">
        <v>41</v>
      </c>
      <c r="B4"/>
      <c r="C4" s="77">
        <v>1</v>
      </c>
    </row>
    <row r="5" spans="1:18" x14ac:dyDescent="0.25">
      <c r="A5" s="19" t="s">
        <v>54</v>
      </c>
      <c r="B5" s="15">
        <f>800+(K5-50)*10</f>
        <v>800</v>
      </c>
      <c r="C5" s="78"/>
      <c r="K5" s="97">
        <v>50</v>
      </c>
      <c r="L5" s="97"/>
      <c r="M5" s="97"/>
      <c r="N5" s="97"/>
      <c r="O5" s="97"/>
      <c r="P5" s="97"/>
      <c r="Q5" s="97"/>
      <c r="R5" s="97"/>
    </row>
    <row r="6" spans="1:18" x14ac:dyDescent="0.25">
      <c r="A6" s="1" t="s">
        <v>4</v>
      </c>
      <c r="B6" s="14">
        <f>K6/100</f>
        <v>0.4</v>
      </c>
      <c r="C6" s="77"/>
      <c r="K6" s="97">
        <v>40</v>
      </c>
      <c r="L6" s="97"/>
      <c r="M6" s="97"/>
      <c r="N6" s="97"/>
      <c r="O6" s="97"/>
      <c r="P6" s="97"/>
      <c r="Q6" s="97"/>
      <c r="R6" s="97"/>
    </row>
    <row r="7" spans="1:18" x14ac:dyDescent="0.25">
      <c r="A7" s="19" t="s">
        <v>28</v>
      </c>
      <c r="B7" s="13">
        <f>K7/1000</f>
        <v>0.1</v>
      </c>
      <c r="C7" s="77"/>
      <c r="K7" s="97">
        <v>100</v>
      </c>
      <c r="L7" s="97"/>
      <c r="M7" s="97"/>
      <c r="N7" s="97"/>
      <c r="O7" s="97"/>
      <c r="P7" s="97"/>
      <c r="Q7" s="97"/>
      <c r="R7" s="97"/>
    </row>
    <row r="8" spans="1:18" x14ac:dyDescent="0.25">
      <c r="A8" s="19" t="s">
        <v>29</v>
      </c>
      <c r="B8" s="13">
        <f>K8/1000</f>
        <v>0.03</v>
      </c>
      <c r="C8" s="77"/>
      <c r="K8" s="97">
        <v>30</v>
      </c>
      <c r="L8" s="97"/>
      <c r="M8" s="97"/>
      <c r="N8" s="97"/>
      <c r="O8" s="97"/>
      <c r="P8" s="97"/>
      <c r="Q8" s="97"/>
      <c r="R8" s="97"/>
    </row>
    <row r="9" spans="1:18" x14ac:dyDescent="0.25">
      <c r="A9" s="19" t="s">
        <v>65</v>
      </c>
      <c r="B9" s="13">
        <f>K9/1000</f>
        <v>0.05</v>
      </c>
      <c r="C9" s="77"/>
      <c r="K9" s="97">
        <v>50</v>
      </c>
      <c r="L9" s="97"/>
      <c r="M9" s="97"/>
      <c r="N9" s="97"/>
      <c r="O9" s="97"/>
      <c r="P9" s="97"/>
      <c r="Q9" s="97"/>
      <c r="R9" s="97"/>
    </row>
    <row r="10" spans="1:18" ht="28.05" customHeight="1" x14ac:dyDescent="0.25">
      <c r="A10" s="79" t="s">
        <v>58</v>
      </c>
      <c r="B10"/>
      <c r="C10" s="77">
        <v>1</v>
      </c>
      <c r="K10" s="97"/>
      <c r="L10" s="97"/>
      <c r="M10" s="97"/>
      <c r="N10" s="97"/>
      <c r="O10" s="97"/>
      <c r="P10" s="97"/>
      <c r="Q10" s="97"/>
      <c r="R10" s="97"/>
    </row>
    <row r="11" spans="1:18" x14ac:dyDescent="0.25">
      <c r="K11" s="97"/>
      <c r="L11" s="97"/>
      <c r="M11" s="97"/>
      <c r="N11" s="97"/>
      <c r="O11" s="97"/>
      <c r="P11" s="97"/>
      <c r="Q11" s="97"/>
      <c r="R11" s="97"/>
    </row>
    <row r="12" spans="1:18" x14ac:dyDescent="0.25">
      <c r="A12" s="36" t="s">
        <v>39</v>
      </c>
      <c r="B12" s="34"/>
      <c r="C12" s="4"/>
      <c r="D12" s="4"/>
      <c r="E12" s="4"/>
      <c r="F12" s="4"/>
      <c r="G12" s="35"/>
      <c r="H12" s="62" t="s">
        <v>49</v>
      </c>
      <c r="K12" s="97"/>
      <c r="L12" s="97"/>
      <c r="M12" s="97"/>
      <c r="N12" s="97"/>
      <c r="O12" s="97"/>
      <c r="P12" s="97"/>
      <c r="Q12" s="97"/>
      <c r="R12" s="97"/>
    </row>
    <row r="13" spans="1:18" x14ac:dyDescent="0.25">
      <c r="A13" s="6"/>
      <c r="B13" s="37"/>
      <c r="C13" s="96" t="s">
        <v>59</v>
      </c>
      <c r="D13" s="96"/>
      <c r="E13" s="96"/>
      <c r="F13" s="96"/>
      <c r="G13" s="96"/>
      <c r="H13" s="64" t="s">
        <v>48</v>
      </c>
      <c r="K13" s="97"/>
      <c r="L13" s="97"/>
      <c r="M13" s="97"/>
      <c r="N13" s="97"/>
      <c r="O13" s="97"/>
      <c r="P13" s="97"/>
      <c r="Q13" s="97"/>
      <c r="R13" s="97"/>
    </row>
    <row r="14" spans="1:18" x14ac:dyDescent="0.25">
      <c r="A14" s="3" t="s">
        <v>1</v>
      </c>
      <c r="B14" s="84">
        <v>0</v>
      </c>
      <c r="C14" s="82">
        <v>1</v>
      </c>
      <c r="D14" s="82">
        <v>2</v>
      </c>
      <c r="E14" s="82">
        <v>3</v>
      </c>
      <c r="F14" s="82">
        <v>4</v>
      </c>
      <c r="G14" s="85">
        <v>5</v>
      </c>
      <c r="H14" s="82">
        <v>6</v>
      </c>
      <c r="K14" s="97"/>
      <c r="L14" s="97"/>
      <c r="M14" s="97"/>
      <c r="N14" s="97"/>
      <c r="O14" s="97"/>
      <c r="P14" s="97"/>
      <c r="Q14" s="97"/>
      <c r="R14" s="97"/>
    </row>
    <row r="15" spans="1:18" x14ac:dyDescent="0.25">
      <c r="A15" s="19" t="s">
        <v>15</v>
      </c>
      <c r="B15" s="55"/>
      <c r="C15" s="40">
        <f>650+(L15-50)*10</f>
        <v>650</v>
      </c>
      <c r="D15" s="15">
        <f>690+(M15-50)*10</f>
        <v>690</v>
      </c>
      <c r="E15" s="15">
        <f>720+(N15-50)*10</f>
        <v>720</v>
      </c>
      <c r="F15" s="15">
        <f>755+(O15-50)*10</f>
        <v>755</v>
      </c>
      <c r="G15" s="43">
        <f>775+(P15-50)*10</f>
        <v>775</v>
      </c>
      <c r="H15" s="40">
        <f>IF(C10=1,790+(Q15-50)*10,0)</f>
        <v>840</v>
      </c>
      <c r="I15" s="10"/>
      <c r="K15" s="97"/>
      <c r="L15" s="97">
        <v>50</v>
      </c>
      <c r="M15" s="97">
        <v>50</v>
      </c>
      <c r="N15" s="97">
        <v>50</v>
      </c>
      <c r="O15" s="97">
        <v>50</v>
      </c>
      <c r="P15" s="97">
        <v>50</v>
      </c>
      <c r="Q15" s="97">
        <v>55</v>
      </c>
      <c r="R15" s="97"/>
    </row>
    <row r="16" spans="1:18" x14ac:dyDescent="0.25">
      <c r="A16" s="25" t="s">
        <v>16</v>
      </c>
      <c r="B16" s="23"/>
      <c r="C16" s="40">
        <f>410+(L16-50)*10</f>
        <v>410</v>
      </c>
      <c r="D16" s="15">
        <f>435+(M16-50)*10</f>
        <v>435</v>
      </c>
      <c r="E16" s="15">
        <f>445+(N16-50)*10</f>
        <v>445</v>
      </c>
      <c r="F16" s="15">
        <f>470+(O16-50)*10</f>
        <v>470</v>
      </c>
      <c r="G16" s="43">
        <f>470+(P16-50)*10</f>
        <v>470</v>
      </c>
      <c r="H16" s="40">
        <f>IF(C10=1,475+(Q16-50)*10,0)</f>
        <v>475</v>
      </c>
      <c r="I16" s="10"/>
      <c r="K16" s="97"/>
      <c r="L16" s="97">
        <v>50</v>
      </c>
      <c r="M16" s="97">
        <v>50</v>
      </c>
      <c r="N16" s="97">
        <v>50</v>
      </c>
      <c r="O16" s="97">
        <v>50</v>
      </c>
      <c r="P16" s="97">
        <v>50</v>
      </c>
      <c r="Q16" s="97">
        <v>50</v>
      </c>
      <c r="R16" s="97"/>
    </row>
    <row r="17" spans="1:18" x14ac:dyDescent="0.25">
      <c r="A17" s="19" t="s">
        <v>20</v>
      </c>
      <c r="B17" s="52"/>
      <c r="C17" s="4">
        <f>C$15-C$16</f>
        <v>240</v>
      </c>
      <c r="D17" s="4">
        <f t="shared" ref="D17:H17" si="0">D$15-D$16</f>
        <v>255</v>
      </c>
      <c r="E17" s="4">
        <f t="shared" si="0"/>
        <v>275</v>
      </c>
      <c r="F17" s="4">
        <f t="shared" si="0"/>
        <v>285</v>
      </c>
      <c r="G17" s="4">
        <f t="shared" si="0"/>
        <v>305</v>
      </c>
      <c r="H17" s="4">
        <f t="shared" si="0"/>
        <v>365</v>
      </c>
      <c r="I17" s="10"/>
      <c r="K17" s="97"/>
      <c r="L17" s="97"/>
      <c r="M17" s="97"/>
      <c r="N17" s="97"/>
      <c r="O17" s="97"/>
      <c r="P17" s="97"/>
      <c r="Q17" s="97"/>
      <c r="R17" s="97"/>
    </row>
    <row r="18" spans="1:18" x14ac:dyDescent="0.25">
      <c r="A18" s="25" t="s">
        <v>19</v>
      </c>
      <c r="B18" s="23"/>
      <c r="C18" s="40">
        <f>60+(L18-50)*10</f>
        <v>60</v>
      </c>
      <c r="D18" s="15">
        <f>60+(M18-50)*10</f>
        <v>60</v>
      </c>
      <c r="E18" s="15">
        <f>60+(N18-50)*10</f>
        <v>60</v>
      </c>
      <c r="F18" s="15">
        <f>60+(O18-50)*10</f>
        <v>60</v>
      </c>
      <c r="G18" s="43">
        <f>60+(P18-50)*10</f>
        <v>60</v>
      </c>
      <c r="H18" s="40">
        <f>IF(C10=1,60+(Q18-50)*10,0)</f>
        <v>60</v>
      </c>
      <c r="I18" s="10"/>
      <c r="J18" s="10"/>
      <c r="K18" s="97"/>
      <c r="L18" s="97">
        <v>50</v>
      </c>
      <c r="M18" s="97">
        <v>50</v>
      </c>
      <c r="N18" s="97">
        <v>50</v>
      </c>
      <c r="O18" s="97">
        <v>50</v>
      </c>
      <c r="P18" s="97">
        <v>50</v>
      </c>
      <c r="Q18" s="97">
        <v>50</v>
      </c>
      <c r="R18" s="97"/>
    </row>
    <row r="19" spans="1:18" x14ac:dyDescent="0.25">
      <c r="A19" s="19" t="s">
        <v>11</v>
      </c>
      <c r="B19" s="52"/>
      <c r="C19" s="4">
        <f>C$17-C$18</f>
        <v>180</v>
      </c>
      <c r="D19" s="4">
        <f t="shared" ref="D19:H19" si="1">D$17-D$18</f>
        <v>195</v>
      </c>
      <c r="E19" s="4">
        <f t="shared" si="1"/>
        <v>215</v>
      </c>
      <c r="F19" s="4">
        <f t="shared" si="1"/>
        <v>225</v>
      </c>
      <c r="G19" s="4">
        <f t="shared" si="1"/>
        <v>245</v>
      </c>
      <c r="H19" s="4">
        <f t="shared" si="1"/>
        <v>305</v>
      </c>
      <c r="K19" s="97"/>
      <c r="L19" s="97"/>
      <c r="M19" s="97"/>
      <c r="N19" s="97"/>
      <c r="O19" s="97"/>
      <c r="P19" s="97"/>
      <c r="Q19" s="97"/>
      <c r="R19" s="97"/>
    </row>
    <row r="20" spans="1:18" x14ac:dyDescent="0.25">
      <c r="A20" s="3" t="s">
        <v>6</v>
      </c>
      <c r="B20" s="56"/>
      <c r="C20" s="54">
        <f>B80*$B$8</f>
        <v>7.5</v>
      </c>
      <c r="D20" s="54">
        <f t="shared" ref="D20:G20" si="2">C80*$B$8</f>
        <v>7.6499999999999995</v>
      </c>
      <c r="E20" s="54">
        <f t="shared" si="2"/>
        <v>7.8</v>
      </c>
      <c r="F20" s="54">
        <f t="shared" si="2"/>
        <v>7.9499999999999993</v>
      </c>
      <c r="G20" s="54">
        <f t="shared" si="2"/>
        <v>8.1</v>
      </c>
      <c r="H20" s="54">
        <f t="shared" ref="H20" si="3">G$80*$B$8</f>
        <v>8.25</v>
      </c>
      <c r="I20" s="19"/>
      <c r="K20" s="97"/>
      <c r="L20" s="97"/>
      <c r="M20" s="97"/>
      <c r="N20" s="97"/>
      <c r="O20" s="97"/>
      <c r="P20" s="97"/>
      <c r="Q20" s="97"/>
      <c r="R20" s="97"/>
    </row>
    <row r="21" spans="1:18" x14ac:dyDescent="0.25">
      <c r="A21" s="19" t="s">
        <v>17</v>
      </c>
      <c r="B21" s="35"/>
      <c r="C21" s="4">
        <f>C$19-C$20</f>
        <v>172.5</v>
      </c>
      <c r="D21" s="4">
        <f t="shared" ref="D21:H21" si="4">D$19-D$20</f>
        <v>187.35</v>
      </c>
      <c r="E21" s="4">
        <f t="shared" si="4"/>
        <v>207.2</v>
      </c>
      <c r="F21" s="4">
        <f t="shared" si="4"/>
        <v>217.05</v>
      </c>
      <c r="G21" s="4">
        <f t="shared" si="4"/>
        <v>236.9</v>
      </c>
      <c r="H21" s="4">
        <f t="shared" si="4"/>
        <v>296.75</v>
      </c>
      <c r="K21" s="97"/>
      <c r="L21" s="97"/>
      <c r="M21" s="97"/>
      <c r="N21" s="97"/>
      <c r="O21" s="97"/>
      <c r="P21" s="97"/>
      <c r="Q21" s="97"/>
      <c r="R21" s="97"/>
    </row>
    <row r="22" spans="1:18" x14ac:dyDescent="0.25">
      <c r="A22" s="3" t="s">
        <v>2</v>
      </c>
      <c r="B22" s="56"/>
      <c r="C22" s="54">
        <f>C$21*$B$6</f>
        <v>69</v>
      </c>
      <c r="D22" s="54">
        <f t="shared" ref="D22:H22" si="5">D$21*$B$6</f>
        <v>74.94</v>
      </c>
      <c r="E22" s="54">
        <f t="shared" si="5"/>
        <v>82.88</v>
      </c>
      <c r="F22" s="54">
        <f t="shared" si="5"/>
        <v>86.820000000000007</v>
      </c>
      <c r="G22" s="54">
        <f t="shared" si="5"/>
        <v>94.76</v>
      </c>
      <c r="H22" s="54">
        <f t="shared" si="5"/>
        <v>118.7</v>
      </c>
      <c r="K22" s="97"/>
      <c r="L22" s="97"/>
      <c r="M22" s="97"/>
      <c r="N22" s="97"/>
      <c r="O22" s="97"/>
      <c r="P22" s="97"/>
      <c r="Q22" s="97"/>
      <c r="R22" s="97"/>
    </row>
    <row r="23" spans="1:18" x14ac:dyDescent="0.25">
      <c r="A23" s="19" t="s">
        <v>18</v>
      </c>
      <c r="B23" s="35"/>
      <c r="C23" s="4">
        <f>C$21-C$22</f>
        <v>103.5</v>
      </c>
      <c r="D23" s="4">
        <f t="shared" ref="D23:H23" si="6">D$21-D$22</f>
        <v>112.41</v>
      </c>
      <c r="E23" s="4">
        <f t="shared" si="6"/>
        <v>124.32</v>
      </c>
      <c r="F23" s="4">
        <f t="shared" si="6"/>
        <v>130.23000000000002</v>
      </c>
      <c r="G23" s="4">
        <f t="shared" si="6"/>
        <v>142.13999999999999</v>
      </c>
      <c r="H23" s="4">
        <f t="shared" si="6"/>
        <v>178.05</v>
      </c>
      <c r="J23" s="19"/>
      <c r="K23" s="97"/>
      <c r="L23" s="97"/>
      <c r="M23" s="97"/>
      <c r="N23" s="97"/>
      <c r="O23" s="97"/>
      <c r="P23" s="97"/>
      <c r="Q23" s="97"/>
      <c r="R23" s="97"/>
    </row>
    <row r="24" spans="1:18" x14ac:dyDescent="0.25">
      <c r="A24" s="25" t="s">
        <v>21</v>
      </c>
      <c r="B24" s="56"/>
      <c r="C24" s="54">
        <f>C18</f>
        <v>60</v>
      </c>
      <c r="D24" s="54">
        <f t="shared" ref="D24:H24" si="7">D18</f>
        <v>60</v>
      </c>
      <c r="E24" s="54">
        <f t="shared" si="7"/>
        <v>60</v>
      </c>
      <c r="F24" s="54">
        <f t="shared" si="7"/>
        <v>60</v>
      </c>
      <c r="G24" s="54">
        <f t="shared" si="7"/>
        <v>60</v>
      </c>
      <c r="H24" s="54">
        <f t="shared" si="7"/>
        <v>60</v>
      </c>
      <c r="K24" s="97"/>
      <c r="L24" s="97"/>
      <c r="M24" s="97"/>
      <c r="N24" s="97"/>
      <c r="O24" s="97"/>
      <c r="P24" s="97"/>
      <c r="Q24" s="97"/>
      <c r="R24" s="97"/>
    </row>
    <row r="25" spans="1:18" x14ac:dyDescent="0.25">
      <c r="A25" s="88" t="s">
        <v>24</v>
      </c>
      <c r="B25" s="35"/>
      <c r="C25" s="4">
        <f>C$23+C$24</f>
        <v>163.5</v>
      </c>
      <c r="D25" s="4">
        <f t="shared" ref="D25:H25" si="8">D$23+D$24</f>
        <v>172.41</v>
      </c>
      <c r="E25" s="4">
        <f t="shared" si="8"/>
        <v>184.32</v>
      </c>
      <c r="F25" s="4">
        <f t="shared" si="8"/>
        <v>190.23000000000002</v>
      </c>
      <c r="G25" s="4">
        <f t="shared" si="8"/>
        <v>202.14</v>
      </c>
      <c r="H25" s="4">
        <f t="shared" si="8"/>
        <v>238.05</v>
      </c>
      <c r="K25" s="97"/>
      <c r="L25" s="97"/>
      <c r="M25" s="97"/>
      <c r="N25" s="97"/>
      <c r="O25" s="97"/>
      <c r="P25" s="97"/>
      <c r="Q25" s="97"/>
      <c r="R25" s="97"/>
    </row>
    <row r="26" spans="1:18" x14ac:dyDescent="0.25">
      <c r="B26" s="35"/>
      <c r="C26" s="4"/>
      <c r="D26" s="4"/>
      <c r="E26" s="4"/>
      <c r="F26" s="4"/>
      <c r="G26" s="35"/>
      <c r="H26" s="57"/>
      <c r="K26" s="97"/>
      <c r="L26" s="97"/>
      <c r="M26" s="97"/>
      <c r="N26" s="97"/>
      <c r="O26" s="97"/>
      <c r="P26" s="97"/>
      <c r="Q26" s="97"/>
      <c r="R26" s="97"/>
    </row>
    <row r="27" spans="1:18" x14ac:dyDescent="0.25">
      <c r="A27" s="19" t="s">
        <v>26</v>
      </c>
      <c r="B27" s="35"/>
      <c r="C27" s="41">
        <f>IF($C$4=1,-60,0)+(L27-50)</f>
        <v>-60</v>
      </c>
      <c r="D27" s="32">
        <f>IF($C$4=1,-60,0)+(M27-50)</f>
        <v>-60</v>
      </c>
      <c r="E27" s="32">
        <f>IF($C$4=1,-60,0)+(N27-50)</f>
        <v>-60</v>
      </c>
      <c r="F27" s="32">
        <f>IF($C$4=1,-60,0)+(O27-50)</f>
        <v>-60</v>
      </c>
      <c r="G27" s="42">
        <f>IF($C$4=1,-60,0)+(P27-50)</f>
        <v>-60</v>
      </c>
      <c r="H27" s="4">
        <f>IF(C10=1,-B9*G81-H18-H29-H32,0)</f>
        <v>-92.5</v>
      </c>
      <c r="K27" s="97"/>
      <c r="L27" s="97">
        <v>50</v>
      </c>
      <c r="M27" s="97">
        <v>50</v>
      </c>
      <c r="N27" s="97">
        <v>50</v>
      </c>
      <c r="O27" s="97">
        <v>50</v>
      </c>
      <c r="P27" s="97">
        <v>50</v>
      </c>
      <c r="Q27" s="97"/>
      <c r="R27" s="97"/>
    </row>
    <row r="28" spans="1:18" x14ac:dyDescent="0.25">
      <c r="A28" s="19" t="s">
        <v>56</v>
      </c>
      <c r="B28" s="35"/>
      <c r="C28" s="4"/>
      <c r="D28" s="4"/>
      <c r="E28" s="4"/>
      <c r="F28" s="4"/>
      <c r="G28" s="42">
        <f>IF($C$10=1,0,600)+(P28-50)</f>
        <v>0</v>
      </c>
      <c r="H28" s="4"/>
      <c r="K28" s="97"/>
      <c r="L28" s="97"/>
      <c r="M28" s="97"/>
      <c r="N28" s="97"/>
      <c r="O28" s="97"/>
      <c r="P28" s="97">
        <v>50</v>
      </c>
      <c r="Q28" s="97"/>
      <c r="R28" s="97"/>
    </row>
    <row r="29" spans="1:18" x14ac:dyDescent="0.25">
      <c r="A29" s="25" t="s">
        <v>27</v>
      </c>
      <c r="B29" s="56"/>
      <c r="C29" s="41">
        <f>IF($C$4=1,-10,0)+(L29-50)</f>
        <v>-10</v>
      </c>
      <c r="D29" s="32">
        <f>IF($C$4=1,-10,0)+(M29-50)</f>
        <v>-10</v>
      </c>
      <c r="E29" s="32">
        <f>IF($C$4=1,-10,0)+(N29-50)</f>
        <v>-10</v>
      </c>
      <c r="F29" s="32">
        <f>IF($C$4=1,-10,0)+(O29-50)</f>
        <v>-10</v>
      </c>
      <c r="G29" s="42">
        <f>IF($C$4=1,-10,0)+(P29-50)</f>
        <v>-10</v>
      </c>
      <c r="H29" s="41">
        <f>IF(C10=1,IF($C$4=1,-10,0)+(Q29-50),0)</f>
        <v>-10</v>
      </c>
      <c r="K29" s="97"/>
      <c r="L29" s="97">
        <v>50</v>
      </c>
      <c r="M29" s="97">
        <v>50</v>
      </c>
      <c r="N29" s="97">
        <v>50</v>
      </c>
      <c r="O29" s="97">
        <v>50</v>
      </c>
      <c r="P29" s="97">
        <v>50</v>
      </c>
      <c r="Q29" s="97">
        <v>50</v>
      </c>
      <c r="R29" s="97"/>
    </row>
    <row r="30" spans="1:18" x14ac:dyDescent="0.25">
      <c r="A30" s="88" t="s">
        <v>25</v>
      </c>
      <c r="B30" s="35"/>
      <c r="C30" s="4">
        <f>C$27+C$28+C$29</f>
        <v>-70</v>
      </c>
      <c r="D30" s="4">
        <f t="shared" ref="D30:H30" si="9">D$27+D$28+D$29</f>
        <v>-70</v>
      </c>
      <c r="E30" s="4">
        <f t="shared" si="9"/>
        <v>-70</v>
      </c>
      <c r="F30" s="4">
        <f t="shared" si="9"/>
        <v>-70</v>
      </c>
      <c r="G30" s="4">
        <f t="shared" si="9"/>
        <v>-70</v>
      </c>
      <c r="H30" s="4">
        <f t="shared" si="9"/>
        <v>-102.5</v>
      </c>
      <c r="K30" s="97"/>
      <c r="L30" s="97"/>
      <c r="M30" s="97"/>
      <c r="N30" s="97"/>
      <c r="O30" s="97"/>
      <c r="P30" s="97"/>
      <c r="Q30" s="97"/>
      <c r="R30" s="97"/>
    </row>
    <row r="31" spans="1:18" x14ac:dyDescent="0.25">
      <c r="B31" s="35"/>
      <c r="C31" s="4"/>
      <c r="D31" s="4"/>
      <c r="E31" s="4"/>
      <c r="F31" s="4"/>
      <c r="G31" s="35"/>
      <c r="H31" s="4"/>
      <c r="K31" s="97"/>
      <c r="L31" s="97"/>
      <c r="M31" s="97"/>
      <c r="N31" s="97"/>
      <c r="O31" s="97"/>
      <c r="P31" s="97"/>
      <c r="Q31" s="97"/>
      <c r="R31" s="97"/>
    </row>
    <row r="32" spans="1:18" x14ac:dyDescent="0.25">
      <c r="A32" s="89" t="s">
        <v>5</v>
      </c>
      <c r="B32" s="35"/>
      <c r="C32" s="41">
        <f>IF($C$4=1,5,0)+(L32-50)</f>
        <v>5</v>
      </c>
      <c r="D32" s="41">
        <f>IF($C$4=1,5,0)+(M32-50)</f>
        <v>5</v>
      </c>
      <c r="E32" s="41">
        <f>IF($C$4=1,5,0)+(N32-50)</f>
        <v>5</v>
      </c>
      <c r="F32" s="41">
        <f>IF($C$4=1,5,0)+(O32-50)</f>
        <v>5</v>
      </c>
      <c r="G32" s="42">
        <f>IF(C10=1,IF($C$4=1,5,0)+(P32-50),-F80)</f>
        <v>5</v>
      </c>
      <c r="H32" s="4">
        <f>IF(C10=1,B9*G80,0)</f>
        <v>13.75</v>
      </c>
      <c r="K32" s="97"/>
      <c r="L32" s="97">
        <v>50</v>
      </c>
      <c r="M32" s="97">
        <v>50</v>
      </c>
      <c r="N32" s="97">
        <v>50</v>
      </c>
      <c r="O32" s="97">
        <v>50</v>
      </c>
      <c r="P32" s="97">
        <v>50</v>
      </c>
      <c r="Q32" s="97"/>
      <c r="R32" s="97"/>
    </row>
    <row r="33" spans="1:8" ht="13.8" thickBot="1" x14ac:dyDescent="0.3">
      <c r="A33" s="27"/>
      <c r="B33" s="45"/>
      <c r="C33" s="58"/>
      <c r="D33" s="58"/>
      <c r="E33" s="58"/>
      <c r="F33" s="58"/>
      <c r="G33" s="45"/>
      <c r="H33" s="58"/>
    </row>
    <row r="34" spans="1:8" ht="13.8" thickTop="1" x14ac:dyDescent="0.25">
      <c r="A34" s="88" t="s">
        <v>14</v>
      </c>
      <c r="B34" s="44"/>
      <c r="C34" s="4">
        <f>C$32+C$30+C$25</f>
        <v>98.5</v>
      </c>
      <c r="D34" s="4">
        <f t="shared" ref="D34:H34" si="10">D$32+D$30+D$25</f>
        <v>107.41</v>
      </c>
      <c r="E34" s="4">
        <f t="shared" si="10"/>
        <v>119.32</v>
      </c>
      <c r="F34" s="4">
        <f t="shared" si="10"/>
        <v>125.23000000000002</v>
      </c>
      <c r="G34" s="4">
        <f t="shared" si="10"/>
        <v>137.13999999999999</v>
      </c>
      <c r="H34" s="4">
        <f t="shared" si="10"/>
        <v>149.30000000000001</v>
      </c>
    </row>
    <row r="35" spans="1:8" x14ac:dyDescent="0.25">
      <c r="A35" s="28" t="s">
        <v>22</v>
      </c>
      <c r="B35" s="35"/>
      <c r="C35" s="4">
        <f>C$34</f>
        <v>98.5</v>
      </c>
      <c r="D35" s="4">
        <f t="shared" ref="D35:H35" si="11">D$34</f>
        <v>107.41</v>
      </c>
      <c r="E35" s="4">
        <f t="shared" si="11"/>
        <v>119.32</v>
      </c>
      <c r="F35" s="4">
        <f t="shared" si="11"/>
        <v>125.23000000000002</v>
      </c>
      <c r="G35" s="4">
        <f t="shared" si="11"/>
        <v>137.13999999999999</v>
      </c>
      <c r="H35" s="4">
        <f t="shared" si="11"/>
        <v>149.30000000000001</v>
      </c>
    </row>
    <row r="36" spans="1:8" x14ac:dyDescent="0.25">
      <c r="A36" s="28"/>
      <c r="B36" s="98"/>
      <c r="C36" s="98"/>
      <c r="D36" s="98"/>
      <c r="E36" s="98"/>
      <c r="F36" s="98"/>
      <c r="G36" s="98"/>
      <c r="H36" s="98"/>
    </row>
    <row r="37" spans="1:8" x14ac:dyDescent="0.25">
      <c r="A37" s="28"/>
      <c r="B37" s="98"/>
      <c r="C37" s="98"/>
      <c r="D37" s="98"/>
      <c r="E37" s="98"/>
      <c r="F37" s="98"/>
      <c r="G37" s="98"/>
      <c r="H37" s="98"/>
    </row>
    <row r="38" spans="1:8" x14ac:dyDescent="0.25">
      <c r="A38" s="28"/>
      <c r="B38" s="98"/>
      <c r="C38" s="98"/>
      <c r="D38" s="98"/>
      <c r="E38" s="98"/>
      <c r="F38" s="98"/>
      <c r="G38" s="98"/>
      <c r="H38" s="98"/>
    </row>
    <row r="39" spans="1:8" x14ac:dyDescent="0.25">
      <c r="A39" s="28"/>
      <c r="B39" s="98"/>
      <c r="C39" s="98"/>
      <c r="D39" s="98"/>
      <c r="E39" s="98"/>
      <c r="F39" s="98"/>
      <c r="G39" s="98"/>
      <c r="H39" s="98"/>
    </row>
    <row r="40" spans="1:8" x14ac:dyDescent="0.25">
      <c r="A40" s="28"/>
      <c r="B40" s="98"/>
      <c r="C40" s="98"/>
      <c r="D40" s="98"/>
      <c r="E40" s="98"/>
      <c r="F40" s="98"/>
      <c r="G40" s="98"/>
      <c r="H40" s="98"/>
    </row>
    <row r="41" spans="1:8" x14ac:dyDescent="0.25">
      <c r="A41" s="28"/>
      <c r="B41" s="98"/>
      <c r="C41" s="98"/>
      <c r="D41" s="98"/>
      <c r="E41" s="98"/>
      <c r="F41" s="98"/>
      <c r="G41" s="98"/>
      <c r="H41" s="98"/>
    </row>
    <row r="42" spans="1:8" x14ac:dyDescent="0.25">
      <c r="A42" s="28"/>
      <c r="B42" s="98"/>
      <c r="C42" s="98"/>
      <c r="D42" s="98"/>
      <c r="E42" s="98"/>
      <c r="F42" s="98"/>
      <c r="G42" s="98"/>
      <c r="H42" s="98"/>
    </row>
    <row r="43" spans="1:8" x14ac:dyDescent="0.25">
      <c r="A43" s="28"/>
      <c r="B43" s="98"/>
      <c r="C43" s="98"/>
      <c r="D43" s="98"/>
      <c r="E43" s="98"/>
      <c r="F43" s="98"/>
      <c r="G43" s="98"/>
      <c r="H43" s="98"/>
    </row>
    <row r="44" spans="1:8" x14ac:dyDescent="0.25">
      <c r="A44" s="86"/>
      <c r="B44" s="98"/>
      <c r="C44" s="98"/>
      <c r="D44" s="98"/>
      <c r="E44" s="98"/>
      <c r="F44" s="98"/>
      <c r="G44" s="98"/>
      <c r="H44" s="98"/>
    </row>
    <row r="45" spans="1:8" x14ac:dyDescent="0.25">
      <c r="A45" s="86"/>
      <c r="B45" s="98"/>
      <c r="C45" s="98"/>
      <c r="D45" s="98"/>
      <c r="E45" s="98"/>
      <c r="F45" s="98"/>
      <c r="G45" s="98"/>
      <c r="H45" s="98"/>
    </row>
    <row r="46" spans="1:8" x14ac:dyDescent="0.25">
      <c r="A46" s="86"/>
      <c r="B46" s="98"/>
      <c r="C46" s="98"/>
      <c r="D46" s="98"/>
      <c r="E46" s="98"/>
      <c r="F46" s="98"/>
      <c r="G46" s="98"/>
      <c r="H46" s="98"/>
    </row>
    <row r="47" spans="1:8" x14ac:dyDescent="0.25">
      <c r="A47" s="28"/>
      <c r="B47" s="98"/>
      <c r="C47" s="98"/>
      <c r="D47" s="98"/>
      <c r="E47" s="98"/>
      <c r="F47" s="98"/>
      <c r="G47" s="98"/>
      <c r="H47" s="98"/>
    </row>
    <row r="48" spans="1:8" x14ac:dyDescent="0.25">
      <c r="A48" s="28"/>
      <c r="B48" s="98"/>
      <c r="C48" s="98"/>
      <c r="D48" s="98"/>
      <c r="E48" s="98"/>
      <c r="F48" s="98"/>
      <c r="G48" s="98"/>
      <c r="H48" s="98"/>
    </row>
    <row r="49" spans="1:8" x14ac:dyDescent="0.25">
      <c r="A49" s="28"/>
      <c r="B49" s="98"/>
      <c r="C49" s="98"/>
      <c r="D49" s="98"/>
      <c r="E49" s="98"/>
      <c r="F49" s="98"/>
      <c r="G49" s="98"/>
      <c r="H49" s="98"/>
    </row>
    <row r="50" spans="1:8" x14ac:dyDescent="0.25">
      <c r="A50" s="28"/>
      <c r="B50" s="98"/>
      <c r="C50" s="98"/>
      <c r="D50" s="98"/>
      <c r="E50" s="98"/>
      <c r="F50" s="98"/>
      <c r="G50" s="98"/>
      <c r="H50" s="98"/>
    </row>
    <row r="51" spans="1:8" x14ac:dyDescent="0.25">
      <c r="A51" s="28"/>
      <c r="B51" s="98"/>
      <c r="C51" s="98"/>
      <c r="D51" s="98"/>
      <c r="E51" s="98"/>
      <c r="F51" s="98"/>
      <c r="G51" s="98"/>
      <c r="H51" s="98"/>
    </row>
    <row r="52" spans="1:8" x14ac:dyDescent="0.25">
      <c r="A52" s="28"/>
      <c r="B52" s="98"/>
      <c r="C52" s="98"/>
      <c r="D52" s="98"/>
      <c r="E52" s="98"/>
      <c r="F52" s="98"/>
      <c r="G52" s="98"/>
      <c r="H52" s="98"/>
    </row>
    <row r="53" spans="1:8" x14ac:dyDescent="0.25">
      <c r="A53" s="28"/>
      <c r="B53" s="98"/>
      <c r="C53" s="98"/>
      <c r="D53" s="98"/>
      <c r="E53" s="98"/>
      <c r="F53" s="98"/>
      <c r="G53" s="98"/>
      <c r="H53" s="98"/>
    </row>
    <row r="54" spans="1:8" x14ac:dyDescent="0.25">
      <c r="A54" s="28"/>
      <c r="B54" s="98"/>
      <c r="C54" s="98"/>
      <c r="D54" s="98"/>
      <c r="E54" s="98"/>
      <c r="F54" s="98"/>
      <c r="G54" s="98"/>
      <c r="H54" s="98"/>
    </row>
    <row r="55" spans="1:8" x14ac:dyDescent="0.25">
      <c r="A55" s="28"/>
      <c r="B55" s="98"/>
      <c r="C55" s="98"/>
      <c r="D55" s="98"/>
      <c r="E55" s="98"/>
      <c r="F55" s="98"/>
      <c r="G55" s="98"/>
      <c r="H55" s="98"/>
    </row>
    <row r="56" spans="1:8" x14ac:dyDescent="0.25">
      <c r="A56" s="28"/>
      <c r="B56" s="98"/>
      <c r="C56" s="98"/>
      <c r="D56" s="98"/>
      <c r="E56" s="98"/>
      <c r="F56" s="98"/>
      <c r="G56" s="98"/>
      <c r="H56" s="98"/>
    </row>
    <row r="57" spans="1:8" x14ac:dyDescent="0.25">
      <c r="A57" s="28"/>
      <c r="B57" s="98"/>
      <c r="C57" s="98"/>
      <c r="D57" s="98"/>
      <c r="E57" s="98"/>
      <c r="F57" s="98"/>
      <c r="G57" s="98"/>
      <c r="H57" s="98"/>
    </row>
    <row r="58" spans="1:8" x14ac:dyDescent="0.25">
      <c r="A58" s="28"/>
      <c r="B58" s="98"/>
      <c r="C58" s="98"/>
      <c r="D58" s="98"/>
      <c r="E58" s="98"/>
      <c r="F58" s="98"/>
      <c r="G58" s="98"/>
      <c r="H58" s="98"/>
    </row>
    <row r="59" spans="1:8" x14ac:dyDescent="0.25">
      <c r="A59" s="28"/>
      <c r="B59" s="98"/>
      <c r="C59" s="98"/>
      <c r="D59" s="98"/>
      <c r="E59" s="98"/>
      <c r="F59" s="98"/>
      <c r="G59" s="98"/>
      <c r="H59" s="98"/>
    </row>
    <row r="60" spans="1:8" x14ac:dyDescent="0.25">
      <c r="A60" s="28"/>
      <c r="B60" s="98"/>
      <c r="C60" s="98"/>
      <c r="D60" s="98"/>
      <c r="E60" s="98"/>
      <c r="F60" s="98"/>
      <c r="G60" s="98"/>
      <c r="H60" s="98"/>
    </row>
    <row r="61" spans="1:8" x14ac:dyDescent="0.25">
      <c r="A61" s="28"/>
      <c r="B61" s="98"/>
      <c r="C61" s="98"/>
      <c r="D61" s="98"/>
      <c r="E61" s="98"/>
      <c r="F61" s="98"/>
      <c r="G61" s="98"/>
      <c r="H61" s="98"/>
    </row>
    <row r="62" spans="1:8" x14ac:dyDescent="0.25">
      <c r="A62" s="28"/>
      <c r="B62" s="98"/>
      <c r="C62" s="98"/>
      <c r="D62" s="98"/>
      <c r="E62" s="98"/>
      <c r="F62" s="98"/>
      <c r="G62" s="98"/>
      <c r="H62" s="98"/>
    </row>
    <row r="63" spans="1:8" x14ac:dyDescent="0.25">
      <c r="A63" s="28"/>
      <c r="B63" s="98"/>
      <c r="C63" s="98"/>
      <c r="D63" s="98"/>
      <c r="E63" s="98"/>
      <c r="F63" s="98"/>
      <c r="G63" s="98"/>
      <c r="H63" s="98"/>
    </row>
    <row r="64" spans="1:8" x14ac:dyDescent="0.25">
      <c r="A64" s="28"/>
      <c r="B64" s="98"/>
      <c r="C64" s="98"/>
      <c r="D64" s="98"/>
      <c r="E64" s="98"/>
      <c r="F64" s="98"/>
      <c r="G64" s="98"/>
      <c r="H64" s="98"/>
    </row>
    <row r="65" spans="1:11" x14ac:dyDescent="0.25">
      <c r="A65" s="19" t="s">
        <v>31</v>
      </c>
      <c r="B65" s="35"/>
      <c r="C65" s="4">
        <f>C$20</f>
        <v>7.5</v>
      </c>
      <c r="D65" s="4">
        <f t="shared" ref="D65:H65" si="12">D$20</f>
        <v>7.6499999999999995</v>
      </c>
      <c r="E65" s="4">
        <f t="shared" si="12"/>
        <v>7.8</v>
      </c>
      <c r="F65" s="4">
        <f t="shared" si="12"/>
        <v>7.9499999999999993</v>
      </c>
      <c r="G65" s="4">
        <f t="shared" si="12"/>
        <v>8.1</v>
      </c>
      <c r="H65" s="4">
        <f t="shared" si="12"/>
        <v>8.25</v>
      </c>
      <c r="I65" s="4"/>
    </row>
    <row r="66" spans="1:11" ht="13.8" thickBot="1" x14ac:dyDescent="0.3">
      <c r="A66" s="30" t="s">
        <v>32</v>
      </c>
      <c r="B66" s="45"/>
      <c r="C66" s="59">
        <f>-C32</f>
        <v>-5</v>
      </c>
      <c r="D66" s="59">
        <f t="shared" ref="D66:H66" si="13">-D32</f>
        <v>-5</v>
      </c>
      <c r="E66" s="59">
        <f t="shared" si="13"/>
        <v>-5</v>
      </c>
      <c r="F66" s="59">
        <f t="shared" si="13"/>
        <v>-5</v>
      </c>
      <c r="G66" s="59">
        <f t="shared" si="13"/>
        <v>-5</v>
      </c>
      <c r="H66" s="59">
        <f t="shared" si="13"/>
        <v>-13.75</v>
      </c>
      <c r="I66" s="59"/>
    </row>
    <row r="67" spans="1:11" ht="13.8" thickTop="1" x14ac:dyDescent="0.25">
      <c r="A67" s="88" t="s">
        <v>33</v>
      </c>
      <c r="B67" s="35"/>
      <c r="C67" s="4">
        <f>C$65+C$66</f>
        <v>2.5</v>
      </c>
      <c r="D67" s="4">
        <f t="shared" ref="D67:H67" si="14">D$65+D$66</f>
        <v>2.6499999999999995</v>
      </c>
      <c r="E67" s="4">
        <f t="shared" si="14"/>
        <v>2.8</v>
      </c>
      <c r="F67" s="4">
        <f t="shared" si="14"/>
        <v>2.9499999999999993</v>
      </c>
      <c r="G67" s="4">
        <f t="shared" si="14"/>
        <v>3.0999999999999996</v>
      </c>
      <c r="H67" s="4">
        <f t="shared" si="14"/>
        <v>-5.5</v>
      </c>
      <c r="I67" s="4"/>
    </row>
    <row r="68" spans="1:11" x14ac:dyDescent="0.25">
      <c r="A68"/>
      <c r="B68" s="35"/>
      <c r="C68" s="60"/>
      <c r="D68" s="60"/>
      <c r="E68" s="60"/>
      <c r="F68" s="60"/>
      <c r="G68" s="61"/>
      <c r="H68" s="60"/>
    </row>
    <row r="69" spans="1:11" ht="13.8" thickBot="1" x14ac:dyDescent="0.3">
      <c r="A69" s="30" t="s">
        <v>30</v>
      </c>
      <c r="B69" s="45"/>
      <c r="C69" s="58">
        <f>B80*$B$8*$B$6</f>
        <v>3</v>
      </c>
      <c r="D69" s="58">
        <f t="shared" ref="D69:H69" si="15">C80*$B$8*$B$6</f>
        <v>3.06</v>
      </c>
      <c r="E69" s="58">
        <f t="shared" si="15"/>
        <v>3.12</v>
      </c>
      <c r="F69" s="58">
        <f t="shared" si="15"/>
        <v>3.1799999999999997</v>
      </c>
      <c r="G69" s="58">
        <f t="shared" si="15"/>
        <v>3.24</v>
      </c>
      <c r="H69" s="58">
        <f t="shared" si="15"/>
        <v>3.3000000000000003</v>
      </c>
      <c r="I69" s="58"/>
    </row>
    <row r="70" spans="1:11" ht="13.8" thickTop="1" x14ac:dyDescent="0.25">
      <c r="A70" s="88" t="s">
        <v>23</v>
      </c>
      <c r="B70" s="44"/>
      <c r="C70" s="4">
        <f>C34+C67-C69</f>
        <v>98</v>
      </c>
      <c r="D70" s="4">
        <f t="shared" ref="D70:G70" si="16">D34+D67-D69</f>
        <v>107</v>
      </c>
      <c r="E70" s="4">
        <f t="shared" si="16"/>
        <v>118.99999999999999</v>
      </c>
      <c r="F70" s="4">
        <f t="shared" si="16"/>
        <v>125</v>
      </c>
      <c r="G70" s="4">
        <f t="shared" si="16"/>
        <v>136.99999999999997</v>
      </c>
      <c r="H70" s="4">
        <f>H34+H67-H69</f>
        <v>140.5</v>
      </c>
      <c r="I70" s="4"/>
    </row>
    <row r="71" spans="1:11" x14ac:dyDescent="0.25">
      <c r="A71" s="19"/>
      <c r="B71" s="35"/>
      <c r="C71" s="4"/>
      <c r="D71" s="4"/>
      <c r="E71" s="4"/>
      <c r="F71" s="4"/>
      <c r="G71" s="35"/>
      <c r="H71" s="4"/>
    </row>
    <row r="72" spans="1:11" x14ac:dyDescent="0.25">
      <c r="A72" s="12" t="s">
        <v>60</v>
      </c>
      <c r="B72" s="35"/>
      <c r="C72" s="4"/>
      <c r="D72" s="4"/>
      <c r="E72" s="4"/>
      <c r="F72" s="4"/>
      <c r="G72" s="35"/>
      <c r="H72" s="4"/>
    </row>
    <row r="73" spans="1:11" x14ac:dyDescent="0.25">
      <c r="A73" s="19" t="s">
        <v>18</v>
      </c>
      <c r="B73" s="35"/>
      <c r="C73" s="4">
        <f>C$23</f>
        <v>103.5</v>
      </c>
      <c r="D73" s="4">
        <f t="shared" ref="D73:H73" si="17">D$23</f>
        <v>112.41</v>
      </c>
      <c r="E73" s="4">
        <f t="shared" si="17"/>
        <v>124.32</v>
      </c>
      <c r="F73" s="4">
        <f t="shared" si="17"/>
        <v>130.23000000000002</v>
      </c>
      <c r="G73" s="4">
        <f t="shared" si="17"/>
        <v>142.13999999999999</v>
      </c>
      <c r="H73" s="4">
        <f t="shared" si="17"/>
        <v>178.05</v>
      </c>
    </row>
    <row r="74" spans="1:11" x14ac:dyDescent="0.25">
      <c r="A74" s="25" t="s">
        <v>34</v>
      </c>
      <c r="B74" s="56"/>
      <c r="C74" s="54">
        <f>(1-$B$6)*C20</f>
        <v>4.5</v>
      </c>
      <c r="D74" s="54">
        <f t="shared" ref="D74:H74" si="18">(1-$B$6)*D20</f>
        <v>4.59</v>
      </c>
      <c r="E74" s="54">
        <f t="shared" si="18"/>
        <v>4.68</v>
      </c>
      <c r="F74" s="54">
        <f t="shared" si="18"/>
        <v>4.7699999999999996</v>
      </c>
      <c r="G74" s="54">
        <f t="shared" si="18"/>
        <v>4.8599999999999994</v>
      </c>
      <c r="H74" s="54">
        <f t="shared" si="18"/>
        <v>4.95</v>
      </c>
    </row>
    <row r="75" spans="1:11" x14ac:dyDescent="0.25">
      <c r="A75" s="19" t="s">
        <v>35</v>
      </c>
      <c r="B75" s="35"/>
      <c r="C75" s="4">
        <f>C$73+C$74</f>
        <v>108</v>
      </c>
      <c r="D75" s="4">
        <f t="shared" ref="D75:H75" si="19">D$73+D$74</f>
        <v>117</v>
      </c>
      <c r="E75" s="4">
        <f t="shared" si="19"/>
        <v>129</v>
      </c>
      <c r="F75" s="4">
        <f t="shared" si="19"/>
        <v>135.00000000000003</v>
      </c>
      <c r="G75" s="4">
        <f t="shared" si="19"/>
        <v>147</v>
      </c>
      <c r="H75" s="4">
        <f t="shared" si="19"/>
        <v>183</v>
      </c>
    </row>
    <row r="76" spans="1:11" x14ac:dyDescent="0.25">
      <c r="A76" s="19" t="s">
        <v>19</v>
      </c>
      <c r="B76" s="35"/>
      <c r="C76" s="4">
        <f>C$18</f>
        <v>60</v>
      </c>
      <c r="D76" s="4">
        <f t="shared" ref="D76:H76" si="20">D$18</f>
        <v>60</v>
      </c>
      <c r="E76" s="4">
        <f t="shared" si="20"/>
        <v>60</v>
      </c>
      <c r="F76" s="4">
        <f t="shared" si="20"/>
        <v>60</v>
      </c>
      <c r="G76" s="4">
        <f t="shared" si="20"/>
        <v>60</v>
      </c>
      <c r="H76" s="4">
        <f t="shared" si="20"/>
        <v>60</v>
      </c>
    </row>
    <row r="77" spans="1:11" ht="13.8" thickBot="1" x14ac:dyDescent="0.3">
      <c r="A77" s="30" t="s">
        <v>25</v>
      </c>
      <c r="B77" s="45"/>
      <c r="C77" s="31">
        <f>C30</f>
        <v>-70</v>
      </c>
      <c r="D77" s="31">
        <f t="shared" ref="D77:G77" si="21">D30</f>
        <v>-70</v>
      </c>
      <c r="E77" s="31">
        <f t="shared" si="21"/>
        <v>-70</v>
      </c>
      <c r="F77" s="31">
        <f t="shared" si="21"/>
        <v>-70</v>
      </c>
      <c r="G77" s="31">
        <f t="shared" si="21"/>
        <v>-70</v>
      </c>
      <c r="H77" s="31">
        <f>H30</f>
        <v>-102.5</v>
      </c>
    </row>
    <row r="78" spans="1:11" ht="13.8" thickTop="1" x14ac:dyDescent="0.25">
      <c r="A78" s="88" t="s">
        <v>23</v>
      </c>
      <c r="B78" s="46"/>
      <c r="C78" s="24">
        <f>C75+C76+C77</f>
        <v>98</v>
      </c>
      <c r="D78" s="24">
        <f t="shared" ref="D78:H78" si="22">D75+D76+D77</f>
        <v>107</v>
      </c>
      <c r="E78" s="24">
        <f t="shared" si="22"/>
        <v>119</v>
      </c>
      <c r="F78" s="24">
        <f t="shared" si="22"/>
        <v>125.00000000000003</v>
      </c>
      <c r="G78" s="24">
        <f t="shared" si="22"/>
        <v>137</v>
      </c>
      <c r="H78" s="24">
        <f t="shared" si="22"/>
        <v>140.5</v>
      </c>
    </row>
    <row r="79" spans="1:11" x14ac:dyDescent="0.25">
      <c r="A79" s="19"/>
      <c r="B79" s="23"/>
      <c r="C79" s="24"/>
      <c r="D79" s="24"/>
      <c r="E79" s="24"/>
      <c r="F79" s="24"/>
      <c r="G79" s="23"/>
      <c r="H79" s="24"/>
    </row>
    <row r="80" spans="1:11" x14ac:dyDescent="0.25">
      <c r="A80" s="1" t="s">
        <v>3</v>
      </c>
      <c r="B80" s="41">
        <f>250+(K80-50)*10</f>
        <v>250</v>
      </c>
      <c r="C80" s="4">
        <f>B80+C32</f>
        <v>255</v>
      </c>
      <c r="D80" s="4">
        <f t="shared" ref="D80:H80" si="23">C80+D32</f>
        <v>260</v>
      </c>
      <c r="E80" s="4">
        <f t="shared" si="23"/>
        <v>265</v>
      </c>
      <c r="F80" s="4">
        <f t="shared" si="23"/>
        <v>270</v>
      </c>
      <c r="G80" s="4">
        <f t="shared" si="23"/>
        <v>275</v>
      </c>
      <c r="H80" s="4">
        <f t="shared" si="23"/>
        <v>288.75</v>
      </c>
      <c r="J80" s="4"/>
      <c r="K80" s="97">
        <v>50</v>
      </c>
    </row>
    <row r="81" spans="1:8" x14ac:dyDescent="0.25">
      <c r="A81" s="25" t="s">
        <v>53</v>
      </c>
      <c r="B81" s="92">
        <f>B5-B80</f>
        <v>550</v>
      </c>
      <c r="C81" s="54">
        <f>B81-C18-C27-C29-C32</f>
        <v>555</v>
      </c>
      <c r="D81" s="54">
        <f t="shared" ref="D81:H81" si="24">C81-D18-D27-D29-D32</f>
        <v>560</v>
      </c>
      <c r="E81" s="54">
        <f t="shared" si="24"/>
        <v>565</v>
      </c>
      <c r="F81" s="54">
        <f t="shared" si="24"/>
        <v>570</v>
      </c>
      <c r="G81" s="54">
        <f t="shared" si="24"/>
        <v>575</v>
      </c>
      <c r="H81" s="54">
        <f t="shared" si="24"/>
        <v>603.75</v>
      </c>
    </row>
    <row r="82" spans="1:8" x14ac:dyDescent="0.25">
      <c r="A82" s="88" t="s">
        <v>63</v>
      </c>
      <c r="B82" s="35">
        <f>B81+B80</f>
        <v>800</v>
      </c>
      <c r="C82" s="35">
        <f t="shared" ref="C82:H82" si="25">C81+C80</f>
        <v>810</v>
      </c>
      <c r="D82" s="35">
        <f t="shared" si="25"/>
        <v>820</v>
      </c>
      <c r="E82" s="35">
        <f t="shared" si="25"/>
        <v>830</v>
      </c>
      <c r="F82" s="35">
        <f t="shared" si="25"/>
        <v>840</v>
      </c>
      <c r="G82" s="35">
        <f t="shared" si="25"/>
        <v>850</v>
      </c>
      <c r="H82" s="35">
        <f t="shared" si="25"/>
        <v>892.5</v>
      </c>
    </row>
    <row r="83" spans="1:8" x14ac:dyDescent="0.25">
      <c r="A83" s="19"/>
      <c r="B83" s="35"/>
      <c r="C83" s="4"/>
      <c r="D83" s="4"/>
      <c r="E83" s="4"/>
      <c r="F83" s="4"/>
      <c r="G83" s="35"/>
      <c r="H83" s="4"/>
    </row>
    <row r="84" spans="1:8" x14ac:dyDescent="0.25">
      <c r="A84" s="12" t="s">
        <v>52</v>
      </c>
      <c r="B84" s="23"/>
      <c r="C84" s="24"/>
      <c r="D84" s="24"/>
      <c r="E84" s="24"/>
      <c r="F84" s="24"/>
      <c r="G84" s="23"/>
      <c r="H84" s="24"/>
    </row>
    <row r="85" spans="1:8" x14ac:dyDescent="0.25">
      <c r="A85" s="19" t="s">
        <v>35</v>
      </c>
      <c r="B85" s="35"/>
      <c r="C85" s="4">
        <f>C75</f>
        <v>108</v>
      </c>
      <c r="D85" s="4">
        <f t="shared" ref="D85:H85" si="26">D75</f>
        <v>117</v>
      </c>
      <c r="E85" s="4">
        <f t="shared" si="26"/>
        <v>129</v>
      </c>
      <c r="F85" s="4">
        <f t="shared" si="26"/>
        <v>135.00000000000003</v>
      </c>
      <c r="G85" s="4">
        <f t="shared" si="26"/>
        <v>147</v>
      </c>
      <c r="H85" s="4">
        <f t="shared" si="26"/>
        <v>183</v>
      </c>
    </row>
    <row r="86" spans="1:8" x14ac:dyDescent="0.25">
      <c r="A86" s="25" t="s">
        <v>51</v>
      </c>
      <c r="B86" s="51"/>
      <c r="C86" s="54">
        <f>C181*B82</f>
        <v>78.926137893640174</v>
      </c>
      <c r="D86" s="54">
        <f t="shared" ref="D86:G86" si="27">D181*C82</f>
        <v>79.948594652541487</v>
      </c>
      <c r="E86" s="54">
        <f t="shared" si="27"/>
        <v>80.969674098953973</v>
      </c>
      <c r="F86" s="54">
        <f t="shared" si="27"/>
        <v>81.98845953330094</v>
      </c>
      <c r="G86" s="54">
        <f t="shared" si="27"/>
        <v>83.007452987825914</v>
      </c>
      <c r="H86" s="54">
        <f>IF(C10=1,H181*G82,0)</f>
        <v>84.024687065368568</v>
      </c>
    </row>
    <row r="87" spans="1:8" x14ac:dyDescent="0.25">
      <c r="A87" s="88" t="s">
        <v>52</v>
      </c>
      <c r="B87" s="23"/>
      <c r="C87" s="24">
        <f>C85-C86</f>
        <v>29.073862106359826</v>
      </c>
      <c r="D87" s="24">
        <f t="shared" ref="D87:G87" si="28">D85-D86</f>
        <v>37.051405347458513</v>
      </c>
      <c r="E87" s="24">
        <f t="shared" si="28"/>
        <v>48.030325901046027</v>
      </c>
      <c r="F87" s="24">
        <f t="shared" si="28"/>
        <v>53.011540466699088</v>
      </c>
      <c r="G87" s="24">
        <f t="shared" si="28"/>
        <v>63.992547012174086</v>
      </c>
      <c r="H87" s="24">
        <f>H85-H86</f>
        <v>98.975312934631432</v>
      </c>
    </row>
    <row r="88" spans="1:8" x14ac:dyDescent="0.25">
      <c r="B88" s="4"/>
      <c r="C88" s="4"/>
      <c r="D88" s="4"/>
      <c r="E88" s="4"/>
      <c r="F88" s="4"/>
      <c r="G88" s="4"/>
      <c r="H88" s="4"/>
    </row>
    <row r="89" spans="1:8" x14ac:dyDescent="0.25">
      <c r="B89" s="4"/>
      <c r="C89" s="4"/>
      <c r="D89" s="4"/>
      <c r="E89" s="4"/>
      <c r="F89" s="4"/>
      <c r="G89" s="4"/>
      <c r="H89" s="4"/>
    </row>
    <row r="90" spans="1:8" x14ac:dyDescent="0.25">
      <c r="B90" s="4"/>
      <c r="C90" s="4"/>
      <c r="D90" s="4"/>
      <c r="E90" s="4"/>
      <c r="F90" s="4"/>
      <c r="G90" s="4"/>
      <c r="H90" s="4"/>
    </row>
    <row r="91" spans="1:8" x14ac:dyDescent="0.25">
      <c r="B91" s="4"/>
      <c r="C91" s="4"/>
      <c r="D91" s="4"/>
      <c r="E91" s="4"/>
      <c r="F91" s="4"/>
      <c r="G91" s="4"/>
      <c r="H91" s="4"/>
    </row>
    <row r="92" spans="1:8" x14ac:dyDescent="0.25">
      <c r="B92" s="4"/>
      <c r="C92" s="4"/>
      <c r="D92" s="4"/>
      <c r="E92" s="4"/>
      <c r="F92" s="4"/>
      <c r="G92" s="4"/>
      <c r="H92" s="4"/>
    </row>
    <row r="93" spans="1:8" x14ac:dyDescent="0.25">
      <c r="B93" s="4"/>
      <c r="C93" s="4"/>
      <c r="D93" s="4"/>
      <c r="E93" s="4"/>
      <c r="F93" s="4"/>
      <c r="G93" s="4"/>
      <c r="H93" s="4"/>
    </row>
    <row r="94" spans="1:8" x14ac:dyDescent="0.25">
      <c r="B94" s="4"/>
      <c r="C94" s="4"/>
      <c r="D94" s="4"/>
      <c r="E94" s="4"/>
      <c r="F94" s="4"/>
      <c r="G94" s="4"/>
      <c r="H94" s="4"/>
    </row>
    <row r="95" spans="1:8" x14ac:dyDescent="0.25">
      <c r="B95" s="4"/>
      <c r="C95" s="4"/>
      <c r="D95" s="4"/>
      <c r="E95" s="4"/>
      <c r="F95" s="4"/>
      <c r="G95" s="4"/>
      <c r="H95" s="4"/>
    </row>
    <row r="96" spans="1:8" x14ac:dyDescent="0.25">
      <c r="B96" s="4"/>
      <c r="C96" s="4"/>
      <c r="D96" s="4"/>
      <c r="E96" s="4"/>
      <c r="F96" s="4"/>
      <c r="G96" s="4"/>
      <c r="H96" s="4"/>
    </row>
    <row r="97" spans="2:8" x14ac:dyDescent="0.25">
      <c r="B97" s="4"/>
      <c r="C97" s="4"/>
      <c r="D97" s="4"/>
      <c r="E97" s="4"/>
      <c r="F97" s="4"/>
      <c r="G97" s="4"/>
      <c r="H97" s="4"/>
    </row>
    <row r="98" spans="2:8" x14ac:dyDescent="0.25">
      <c r="B98" s="4"/>
      <c r="C98" s="4"/>
      <c r="D98" s="4"/>
      <c r="E98" s="4"/>
      <c r="F98" s="4"/>
      <c r="G98" s="4"/>
      <c r="H98" s="4"/>
    </row>
    <row r="99" spans="2:8" x14ac:dyDescent="0.25">
      <c r="B99" s="4"/>
      <c r="C99" s="4"/>
      <c r="D99" s="4"/>
      <c r="E99" s="4"/>
      <c r="F99" s="4"/>
      <c r="G99" s="4"/>
      <c r="H99" s="4"/>
    </row>
    <row r="100" spans="2:8" x14ac:dyDescent="0.25">
      <c r="B100" s="4"/>
      <c r="C100" s="4"/>
      <c r="D100" s="4"/>
      <c r="E100" s="4"/>
      <c r="F100" s="4"/>
      <c r="G100" s="4"/>
      <c r="H100" s="4"/>
    </row>
    <row r="101" spans="2:8" x14ac:dyDescent="0.25">
      <c r="B101" s="4"/>
      <c r="C101" s="4"/>
      <c r="D101" s="4"/>
      <c r="E101" s="4"/>
      <c r="F101" s="4"/>
      <c r="G101" s="4"/>
      <c r="H101" s="4"/>
    </row>
    <row r="102" spans="2:8" x14ac:dyDescent="0.25">
      <c r="B102" s="4"/>
      <c r="C102" s="4"/>
      <c r="D102" s="4"/>
      <c r="E102" s="4"/>
      <c r="F102" s="4"/>
      <c r="G102" s="4"/>
      <c r="H102" s="4"/>
    </row>
    <row r="103" spans="2:8" x14ac:dyDescent="0.25">
      <c r="B103" s="4"/>
      <c r="C103" s="4"/>
      <c r="D103" s="4"/>
      <c r="E103" s="4"/>
      <c r="F103" s="4"/>
      <c r="G103" s="4"/>
      <c r="H103" s="4"/>
    </row>
    <row r="104" spans="2:8" x14ac:dyDescent="0.25">
      <c r="B104" s="4"/>
      <c r="C104" s="4"/>
      <c r="D104" s="4"/>
      <c r="E104" s="4"/>
      <c r="F104" s="4"/>
      <c r="G104" s="4"/>
      <c r="H104" s="4"/>
    </row>
    <row r="105" spans="2:8" x14ac:dyDescent="0.25">
      <c r="B105" s="4"/>
      <c r="C105" s="4"/>
      <c r="D105" s="4"/>
      <c r="E105" s="4"/>
      <c r="F105" s="4"/>
      <c r="G105" s="4"/>
      <c r="H105" s="4"/>
    </row>
    <row r="106" spans="2:8" x14ac:dyDescent="0.25">
      <c r="B106" s="4"/>
      <c r="C106" s="4"/>
      <c r="D106" s="4"/>
      <c r="E106" s="4"/>
      <c r="F106" s="4"/>
      <c r="G106" s="4"/>
      <c r="H106" s="4"/>
    </row>
    <row r="107" spans="2:8" x14ac:dyDescent="0.25">
      <c r="B107" s="4"/>
      <c r="C107" s="4"/>
      <c r="D107" s="4"/>
      <c r="E107" s="4"/>
      <c r="F107" s="4"/>
      <c r="G107" s="4"/>
      <c r="H107" s="4"/>
    </row>
    <row r="108" spans="2:8" x14ac:dyDescent="0.25">
      <c r="B108" s="4"/>
      <c r="C108" s="4"/>
      <c r="D108" s="4"/>
      <c r="E108" s="4"/>
      <c r="F108" s="4"/>
      <c r="G108" s="4"/>
      <c r="H108" s="4"/>
    </row>
    <row r="109" spans="2:8" x14ac:dyDescent="0.25">
      <c r="B109" s="4"/>
      <c r="C109" s="4"/>
      <c r="D109" s="4"/>
      <c r="E109" s="4"/>
      <c r="F109" s="4"/>
      <c r="G109" s="4"/>
      <c r="H109" s="4"/>
    </row>
    <row r="110" spans="2:8" x14ac:dyDescent="0.25">
      <c r="B110" s="4"/>
      <c r="C110" s="4"/>
      <c r="D110" s="4"/>
      <c r="E110" s="4"/>
      <c r="F110" s="4"/>
      <c r="G110" s="4"/>
      <c r="H110" s="4"/>
    </row>
    <row r="111" spans="2:8" x14ac:dyDescent="0.25">
      <c r="B111" s="4"/>
      <c r="C111" s="4"/>
      <c r="D111" s="4"/>
      <c r="E111" s="4"/>
      <c r="F111" s="4"/>
      <c r="G111" s="4"/>
      <c r="H111" s="4"/>
    </row>
    <row r="112" spans="2:8" x14ac:dyDescent="0.25">
      <c r="B112" s="4"/>
      <c r="C112" s="4"/>
      <c r="D112" s="4"/>
      <c r="E112" s="4"/>
      <c r="F112" s="4"/>
      <c r="G112" s="4"/>
      <c r="H112" s="4"/>
    </row>
    <row r="113" spans="1:9" x14ac:dyDescent="0.25">
      <c r="A113" s="12" t="s">
        <v>36</v>
      </c>
      <c r="B113" s="35"/>
      <c r="C113" s="4"/>
      <c r="D113" s="4"/>
      <c r="E113" s="4"/>
      <c r="F113" s="4"/>
      <c r="G113" s="35"/>
      <c r="H113" s="62" t="s">
        <v>49</v>
      </c>
    </row>
    <row r="114" spans="1:9" x14ac:dyDescent="0.25">
      <c r="A114" s="3"/>
      <c r="B114" s="63"/>
      <c r="C114" s="96" t="s">
        <v>59</v>
      </c>
      <c r="D114" s="96"/>
      <c r="E114" s="96"/>
      <c r="F114" s="96"/>
      <c r="G114" s="96"/>
      <c r="H114" s="64" t="s">
        <v>48</v>
      </c>
    </row>
    <row r="115" spans="1:9" x14ac:dyDescent="0.25">
      <c r="A115" s="38" t="s">
        <v>1</v>
      </c>
      <c r="B115" s="80">
        <v>0</v>
      </c>
      <c r="C115" s="81">
        <v>1</v>
      </c>
      <c r="D115" s="82">
        <v>2</v>
      </c>
      <c r="E115" s="82">
        <v>3</v>
      </c>
      <c r="F115" s="82">
        <v>4</v>
      </c>
      <c r="G115" s="82">
        <v>5</v>
      </c>
      <c r="H115" s="83">
        <v>6</v>
      </c>
    </row>
    <row r="116" spans="1:9" x14ac:dyDescent="0.25">
      <c r="A116" s="19" t="s">
        <v>23</v>
      </c>
      <c r="B116" s="35"/>
      <c r="C116" s="4">
        <f>C78</f>
        <v>98</v>
      </c>
      <c r="D116" s="4">
        <f t="shared" ref="D116:H116" si="29">D78</f>
        <v>107</v>
      </c>
      <c r="E116" s="4">
        <f t="shared" si="29"/>
        <v>119</v>
      </c>
      <c r="F116" s="4">
        <f t="shared" si="29"/>
        <v>125.00000000000003</v>
      </c>
      <c r="G116" s="4">
        <f t="shared" si="29"/>
        <v>137</v>
      </c>
      <c r="H116" s="4">
        <f t="shared" si="29"/>
        <v>140.5</v>
      </c>
      <c r="I116" s="10"/>
    </row>
    <row r="117" spans="1:9" x14ac:dyDescent="0.25">
      <c r="A117" s="19" t="s">
        <v>45</v>
      </c>
      <c r="B117" s="90">
        <f>(C116+C117)/(1+$B$7)</f>
        <v>2182.1589434402763</v>
      </c>
      <c r="C117" s="90">
        <f t="shared" ref="C117:F117" si="30">(D116+D117)/(1+$B$7)</f>
        <v>2302.374837784304</v>
      </c>
      <c r="D117" s="90">
        <f t="shared" si="30"/>
        <v>2425.6123215627345</v>
      </c>
      <c r="E117" s="90">
        <f t="shared" si="30"/>
        <v>2549.1735537190079</v>
      </c>
      <c r="F117" s="90">
        <f t="shared" si="30"/>
        <v>2679.090909090909</v>
      </c>
      <c r="G117" s="90">
        <f>H116/(B7-B9)</f>
        <v>2810</v>
      </c>
      <c r="H117" s="67"/>
      <c r="I117" s="4"/>
    </row>
    <row r="118" spans="1:9" x14ac:dyDescent="0.25">
      <c r="A118" s="19" t="s">
        <v>30</v>
      </c>
      <c r="B118" s="35"/>
      <c r="C118" s="4">
        <f>C69</f>
        <v>3</v>
      </c>
      <c r="D118" s="4">
        <f t="shared" ref="D118:H118" si="31">D69</f>
        <v>3.06</v>
      </c>
      <c r="E118" s="4">
        <f t="shared" si="31"/>
        <v>3.12</v>
      </c>
      <c r="F118" s="4">
        <f t="shared" si="31"/>
        <v>3.1799999999999997</v>
      </c>
      <c r="G118" s="4">
        <f t="shared" si="31"/>
        <v>3.24</v>
      </c>
      <c r="H118" s="4">
        <f t="shared" si="31"/>
        <v>3.3000000000000003</v>
      </c>
    </row>
    <row r="119" spans="1:9" x14ac:dyDescent="0.25">
      <c r="A119" s="25" t="s">
        <v>44</v>
      </c>
      <c r="B119" s="91">
        <f>(C118+C119)/(1+$B$7)</f>
        <v>52.764875722597168</v>
      </c>
      <c r="C119" s="91">
        <f t="shared" ref="C119:F119" si="32">(D118+D119)/(1+$B$7)</f>
        <v>55.041363294856893</v>
      </c>
      <c r="D119" s="91">
        <f t="shared" si="32"/>
        <v>57.485499624342587</v>
      </c>
      <c r="E119" s="91">
        <f t="shared" si="32"/>
        <v>60.114049586776851</v>
      </c>
      <c r="F119" s="91">
        <f t="shared" si="32"/>
        <v>62.945454545454538</v>
      </c>
      <c r="G119" s="91">
        <f>H118/(B7-B9)</f>
        <v>66</v>
      </c>
      <c r="H119" s="69"/>
    </row>
    <row r="120" spans="1:9" x14ac:dyDescent="0.25">
      <c r="A120" s="19" t="str">
        <f>IF($C$4=1,"Value of the Firm (APV Method)","Value of Fut Cash Flows (APV Met)")</f>
        <v>Value of the Firm (APV Method)</v>
      </c>
      <c r="B120" s="2">
        <f>B117+B119</f>
        <v>2234.9238191628733</v>
      </c>
      <c r="C120" s="4"/>
      <c r="D120" s="4"/>
      <c r="E120" s="4"/>
      <c r="F120" s="4"/>
      <c r="G120" s="52"/>
      <c r="H120" s="4"/>
    </row>
    <row r="121" spans="1:9" x14ac:dyDescent="0.25">
      <c r="A121" s="53" t="str">
        <f>IF($C$4=1,"- Date 0 Firm Capital","- Date 0 Project Investment")</f>
        <v>- Date 0 Firm Capital</v>
      </c>
      <c r="B121" s="70">
        <f>$B$5</f>
        <v>800</v>
      </c>
      <c r="C121" s="71"/>
      <c r="D121" s="54"/>
      <c r="E121" s="54"/>
      <c r="F121" s="54"/>
      <c r="G121" s="56"/>
      <c r="H121" s="54"/>
    </row>
    <row r="122" spans="1:9" x14ac:dyDescent="0.25">
      <c r="A122" s="19" t="str">
        <f>IF($C$4=1,"Value Added by Firm (APV Method)","NPV of Project (APV Method)")</f>
        <v>Value Added by Firm (APV Method)</v>
      </c>
      <c r="B122" s="2">
        <f>B120-B121</f>
        <v>1434.9238191628733</v>
      </c>
      <c r="C122" s="4"/>
      <c r="D122" s="4"/>
      <c r="E122" s="4"/>
      <c r="F122" s="4"/>
      <c r="G122" s="35"/>
      <c r="H122" s="4"/>
    </row>
    <row r="123" spans="1:9" x14ac:dyDescent="0.25">
      <c r="G123" s="4"/>
      <c r="H123" s="4"/>
    </row>
    <row r="124" spans="1:9" x14ac:dyDescent="0.25">
      <c r="G124" s="4"/>
      <c r="H124" s="4"/>
    </row>
    <row r="125" spans="1:9" x14ac:dyDescent="0.25">
      <c r="G125" s="4"/>
      <c r="H125" s="4"/>
    </row>
    <row r="126" spans="1:9" x14ac:dyDescent="0.25">
      <c r="G126" s="4"/>
      <c r="H126" s="4"/>
    </row>
    <row r="127" spans="1:9" x14ac:dyDescent="0.25">
      <c r="G127" s="4"/>
      <c r="H127" s="4"/>
    </row>
    <row r="128" spans="1:9" x14ac:dyDescent="0.25">
      <c r="G128" s="4"/>
      <c r="H128" s="4"/>
    </row>
    <row r="129" spans="1:8" x14ac:dyDescent="0.25">
      <c r="G129" s="4"/>
      <c r="H129" s="4"/>
    </row>
    <row r="130" spans="1:8" x14ac:dyDescent="0.25">
      <c r="G130" s="4"/>
      <c r="H130" s="4"/>
    </row>
    <row r="131" spans="1:8" x14ac:dyDescent="0.25">
      <c r="G131" s="4"/>
      <c r="H131" s="4"/>
    </row>
    <row r="132" spans="1:8" x14ac:dyDescent="0.25">
      <c r="G132" s="4"/>
      <c r="H132" s="4"/>
    </row>
    <row r="133" spans="1:8" x14ac:dyDescent="0.25">
      <c r="H133" s="33"/>
    </row>
    <row r="134" spans="1:8" x14ac:dyDescent="0.25">
      <c r="H134" s="33"/>
    </row>
    <row r="135" spans="1:8" x14ac:dyDescent="0.25">
      <c r="H135" s="33"/>
    </row>
    <row r="136" spans="1:8" x14ac:dyDescent="0.25">
      <c r="H136" s="33"/>
    </row>
    <row r="137" spans="1:8" x14ac:dyDescent="0.25">
      <c r="H137" s="33"/>
    </row>
    <row r="138" spans="1:8" x14ac:dyDescent="0.25">
      <c r="H138" s="33"/>
    </row>
    <row r="139" spans="1:8" x14ac:dyDescent="0.25">
      <c r="H139" s="33"/>
    </row>
    <row r="140" spans="1:8" x14ac:dyDescent="0.25">
      <c r="H140" s="33"/>
    </row>
    <row r="141" spans="1:8" x14ac:dyDescent="0.25">
      <c r="A141" s="12" t="s">
        <v>47</v>
      </c>
      <c r="B141" s="11"/>
      <c r="G141" s="11"/>
      <c r="H141" s="18" t="s">
        <v>49</v>
      </c>
    </row>
    <row r="142" spans="1:8" x14ac:dyDescent="0.25">
      <c r="A142" s="3"/>
      <c r="B142" s="37"/>
      <c r="C142" s="96" t="s">
        <v>59</v>
      </c>
      <c r="D142" s="96"/>
      <c r="E142" s="96"/>
      <c r="F142" s="96"/>
      <c r="G142" s="96"/>
      <c r="H142" s="5" t="s">
        <v>48</v>
      </c>
    </row>
    <row r="143" spans="1:8" x14ac:dyDescent="0.25">
      <c r="A143" s="38" t="s">
        <v>1</v>
      </c>
      <c r="B143" s="80">
        <v>0</v>
      </c>
      <c r="C143" s="81">
        <v>1</v>
      </c>
      <c r="D143" s="82">
        <v>2</v>
      </c>
      <c r="E143" s="82">
        <v>3</v>
      </c>
      <c r="F143" s="82">
        <v>4</v>
      </c>
      <c r="G143" s="82">
        <v>5</v>
      </c>
      <c r="H143" s="83">
        <v>6</v>
      </c>
    </row>
    <row r="144" spans="1:8" x14ac:dyDescent="0.25">
      <c r="A144" s="19" t="s">
        <v>7</v>
      </c>
      <c r="B144" s="47">
        <f>B117+B119</f>
        <v>2234.9238191628733</v>
      </c>
      <c r="C144" s="47">
        <f t="shared" ref="C144:G144" si="33">C117+C119</f>
        <v>2357.4162010791611</v>
      </c>
      <c r="D144" s="47">
        <f t="shared" si="33"/>
        <v>2483.097821187077</v>
      </c>
      <c r="E144" s="47">
        <f t="shared" si="33"/>
        <v>2609.2876033057846</v>
      </c>
      <c r="F144" s="47">
        <f t="shared" si="33"/>
        <v>2742.0363636363636</v>
      </c>
      <c r="G144" s="47">
        <f t="shared" si="33"/>
        <v>2876</v>
      </c>
      <c r="H144" s="8"/>
    </row>
    <row r="145" spans="1:10" x14ac:dyDescent="0.25">
      <c r="A145" s="19" t="s">
        <v>8</v>
      </c>
      <c r="B145" s="47">
        <f>B144-B80</f>
        <v>1984.9238191628733</v>
      </c>
      <c r="C145" s="47">
        <f t="shared" ref="C145:G145" si="34">C144-C80</f>
        <v>2102.4162010791611</v>
      </c>
      <c r="D145" s="47">
        <f t="shared" si="34"/>
        <v>2223.097821187077</v>
      </c>
      <c r="E145" s="47">
        <f t="shared" si="34"/>
        <v>2344.2876033057846</v>
      </c>
      <c r="F145" s="47">
        <f t="shared" si="34"/>
        <v>2472.0363636363636</v>
      </c>
      <c r="G145" s="47">
        <f t="shared" si="34"/>
        <v>2601</v>
      </c>
      <c r="H145" s="8"/>
    </row>
    <row r="146" spans="1:10" x14ac:dyDescent="0.25">
      <c r="A146" s="19" t="s">
        <v>37</v>
      </c>
      <c r="B146" s="34"/>
      <c r="C146" s="17">
        <f>$B$7+($B$7-$B$8)*(B80/B145)</f>
        <v>0.10881645926712719</v>
      </c>
      <c r="D146" s="17">
        <f t="shared" ref="D146:G146" si="35">$B$7+($B$7-$B$8)*(C80/C145)</f>
        <v>0.10849023137799152</v>
      </c>
      <c r="E146" s="17">
        <f t="shared" si="35"/>
        <v>0.10818677425102315</v>
      </c>
      <c r="F146" s="17">
        <f t="shared" si="35"/>
        <v>0.1079128516372487</v>
      </c>
      <c r="G146" s="17">
        <f t="shared" si="35"/>
        <v>0.10764551860078551</v>
      </c>
      <c r="H146" s="17">
        <f>IF(G145=0,0,$B$7+($B$7-$B$8)*(G80/G145))</f>
        <v>0.1074009996155325</v>
      </c>
      <c r="J146" s="50"/>
    </row>
    <row r="147" spans="1:10" x14ac:dyDescent="0.25">
      <c r="A147" s="19"/>
      <c r="B147" s="34"/>
      <c r="C147" s="7"/>
      <c r="D147" s="7"/>
      <c r="E147" s="7"/>
      <c r="F147" s="7"/>
      <c r="G147" s="7"/>
      <c r="H147" s="29"/>
    </row>
    <row r="148" spans="1:10" x14ac:dyDescent="0.25">
      <c r="A148" s="19" t="s">
        <v>14</v>
      </c>
      <c r="B148" s="35"/>
      <c r="C148" s="4">
        <f>C34</f>
        <v>98.5</v>
      </c>
      <c r="D148" s="4">
        <f t="shared" ref="D148:H148" si="36">D34</f>
        <v>107.41</v>
      </c>
      <c r="E148" s="4">
        <f t="shared" si="36"/>
        <v>119.32</v>
      </c>
      <c r="F148" s="4">
        <f t="shared" si="36"/>
        <v>125.23000000000002</v>
      </c>
      <c r="G148" s="4">
        <f t="shared" si="36"/>
        <v>137.13999999999999</v>
      </c>
      <c r="H148" s="4">
        <f t="shared" si="36"/>
        <v>149.30000000000001</v>
      </c>
    </row>
    <row r="149" spans="1:10" x14ac:dyDescent="0.25">
      <c r="A149" s="19" t="s">
        <v>42</v>
      </c>
      <c r="B149" s="4">
        <f t="shared" ref="B149:E149" si="37">(C148+C149)/(1+C146)</f>
        <v>1984.9238191628735</v>
      </c>
      <c r="C149" s="4">
        <f t="shared" si="37"/>
        <v>2102.4162010791611</v>
      </c>
      <c r="D149" s="4">
        <f t="shared" si="37"/>
        <v>2223.0978211870774</v>
      </c>
      <c r="E149" s="4">
        <f t="shared" si="37"/>
        <v>2344.2876033057851</v>
      </c>
      <c r="F149" s="4">
        <f>(G148+G149)/(1+G146)</f>
        <v>2472.0363636363636</v>
      </c>
      <c r="G149" s="4">
        <f>H148/(H146-B9)</f>
        <v>2601</v>
      </c>
      <c r="H149" s="66"/>
    </row>
    <row r="150" spans="1:10" x14ac:dyDescent="0.25">
      <c r="A150" s="25" t="s">
        <v>43</v>
      </c>
      <c r="B150" s="68">
        <f>B80</f>
        <v>250</v>
      </c>
      <c r="C150" s="68">
        <f t="shared" ref="C150:G150" si="38">C80</f>
        <v>255</v>
      </c>
      <c r="D150" s="68">
        <f t="shared" si="38"/>
        <v>260</v>
      </c>
      <c r="E150" s="68">
        <f t="shared" si="38"/>
        <v>265</v>
      </c>
      <c r="F150" s="68">
        <f t="shared" si="38"/>
        <v>270</v>
      </c>
      <c r="G150" s="68">
        <f t="shared" si="38"/>
        <v>275</v>
      </c>
      <c r="H150" s="72"/>
    </row>
    <row r="151" spans="1:10" x14ac:dyDescent="0.25">
      <c r="A151" s="19" t="str">
        <f>IF($C$4=1,"Value of the Firm (FCFE Method)","Value of Fut Cash Flows (FCFE Met)")</f>
        <v>Value of the Firm (FCFE Method)</v>
      </c>
      <c r="B151" s="2">
        <f>B149+B150</f>
        <v>2234.9238191628738</v>
      </c>
      <c r="C151" s="24"/>
      <c r="D151" s="24"/>
      <c r="E151" s="24"/>
      <c r="F151" s="24"/>
      <c r="G151" s="24"/>
      <c r="H151" s="73"/>
    </row>
    <row r="152" spans="1:10" x14ac:dyDescent="0.25">
      <c r="A152" s="53" t="str">
        <f>IF($C$4=1,"- Date 0 Firm Capital","- Date 0 Project Investment")</f>
        <v>- Date 0 Firm Capital</v>
      </c>
      <c r="B152" s="70">
        <f>B5</f>
        <v>800</v>
      </c>
      <c r="C152" s="72"/>
      <c r="D152" s="74"/>
      <c r="E152" s="74"/>
      <c r="F152" s="74"/>
      <c r="G152" s="51"/>
      <c r="H152" s="74"/>
    </row>
    <row r="153" spans="1:10" x14ac:dyDescent="0.25">
      <c r="A153" s="19" t="str">
        <f>IF($C$4=1,"Value Added by Firm (FCFE Method)","NPV of Project (FCFE Method)")</f>
        <v>Value Added by Firm (FCFE Method)</v>
      </c>
      <c r="B153" s="2">
        <f>B151-B152</f>
        <v>1434.9238191628738</v>
      </c>
      <c r="C153" s="24"/>
      <c r="D153" s="24"/>
      <c r="E153" s="24"/>
      <c r="F153" s="24"/>
      <c r="G153" s="23"/>
      <c r="H153" s="24"/>
    </row>
    <row r="154" spans="1:10" x14ac:dyDescent="0.25">
      <c r="B154" s="26"/>
      <c r="C154" s="26"/>
      <c r="D154" s="26"/>
      <c r="E154" s="26"/>
      <c r="F154" s="26"/>
      <c r="G154" s="26"/>
      <c r="H154" s="26"/>
    </row>
    <row r="155" spans="1:10" x14ac:dyDescent="0.25">
      <c r="B155" s="26"/>
      <c r="C155" s="26"/>
      <c r="D155" s="26"/>
      <c r="E155" s="26"/>
      <c r="F155" s="26"/>
      <c r="G155" s="26"/>
      <c r="H155" s="26"/>
    </row>
    <row r="156" spans="1:10" x14ac:dyDescent="0.25">
      <c r="B156" s="26"/>
      <c r="C156" s="26"/>
      <c r="D156" s="26"/>
      <c r="E156" s="26"/>
      <c r="F156" s="26"/>
      <c r="G156" s="26"/>
      <c r="H156" s="26"/>
    </row>
    <row r="157" spans="1:10" x14ac:dyDescent="0.25">
      <c r="B157" s="26"/>
      <c r="C157" s="26"/>
      <c r="D157" s="26"/>
      <c r="E157" s="26"/>
      <c r="F157" s="26"/>
      <c r="G157" s="26"/>
      <c r="H157" s="26"/>
    </row>
    <row r="158" spans="1:10" x14ac:dyDescent="0.25">
      <c r="B158" s="26"/>
      <c r="C158" s="26"/>
      <c r="D158" s="26"/>
      <c r="E158" s="26"/>
      <c r="F158" s="26"/>
      <c r="G158" s="26"/>
      <c r="H158" s="26"/>
    </row>
    <row r="159" spans="1:10" x14ac:dyDescent="0.25">
      <c r="B159" s="26"/>
      <c r="C159" s="26"/>
      <c r="D159" s="26"/>
      <c r="E159" s="26"/>
      <c r="F159" s="26"/>
      <c r="G159" s="26"/>
      <c r="H159" s="26"/>
    </row>
    <row r="160" spans="1:10" x14ac:dyDescent="0.25">
      <c r="B160" s="26"/>
      <c r="C160" s="26"/>
      <c r="D160" s="26"/>
      <c r="E160" s="26"/>
      <c r="F160" s="26"/>
      <c r="G160" s="26"/>
      <c r="H160" s="26"/>
    </row>
    <row r="161" spans="1:8" x14ac:dyDescent="0.25">
      <c r="B161" s="26"/>
      <c r="C161" s="26"/>
      <c r="D161" s="26"/>
      <c r="E161" s="26"/>
      <c r="F161" s="26"/>
      <c r="G161" s="26"/>
      <c r="H161" s="26"/>
    </row>
    <row r="162" spans="1:8" x14ac:dyDescent="0.25">
      <c r="B162" s="26"/>
      <c r="C162" s="26"/>
      <c r="D162" s="26"/>
      <c r="E162" s="26"/>
      <c r="F162" s="26"/>
      <c r="G162" s="26"/>
      <c r="H162" s="26"/>
    </row>
    <row r="163" spans="1:8" x14ac:dyDescent="0.25">
      <c r="B163" s="26"/>
      <c r="C163" s="26"/>
      <c r="D163" s="26"/>
      <c r="E163" s="26"/>
      <c r="F163" s="26"/>
      <c r="G163" s="26"/>
      <c r="H163" s="26"/>
    </row>
    <row r="164" spans="1:8" x14ac:dyDescent="0.25">
      <c r="B164" s="26"/>
      <c r="C164" s="26"/>
      <c r="D164" s="26"/>
      <c r="E164" s="26"/>
      <c r="F164" s="26"/>
      <c r="G164" s="26"/>
      <c r="H164" s="26"/>
    </row>
    <row r="165" spans="1:8" x14ac:dyDescent="0.25">
      <c r="B165" s="26"/>
      <c r="C165" s="26"/>
      <c r="D165" s="26"/>
      <c r="E165" s="26"/>
      <c r="F165" s="26"/>
      <c r="G165" s="26"/>
      <c r="H165" s="26"/>
    </row>
    <row r="166" spans="1:8" x14ac:dyDescent="0.25">
      <c r="B166" s="26"/>
      <c r="C166" s="26"/>
      <c r="D166" s="26"/>
      <c r="E166" s="26"/>
      <c r="F166" s="26"/>
      <c r="G166" s="26"/>
      <c r="H166" s="26"/>
    </row>
    <row r="167" spans="1:8" x14ac:dyDescent="0.25">
      <c r="B167" s="26"/>
      <c r="C167" s="26"/>
      <c r="D167" s="26"/>
      <c r="E167" s="26"/>
      <c r="F167" s="26"/>
      <c r="G167" s="26"/>
      <c r="H167" s="26"/>
    </row>
    <row r="168" spans="1:8" x14ac:dyDescent="0.25">
      <c r="B168" s="26"/>
      <c r="C168" s="26"/>
      <c r="D168" s="26"/>
      <c r="E168" s="26"/>
      <c r="F168" s="26"/>
      <c r="G168" s="26"/>
      <c r="H168" s="26"/>
    </row>
    <row r="169" spans="1:8" x14ac:dyDescent="0.25">
      <c r="B169" s="26"/>
      <c r="C169" s="26"/>
      <c r="D169" s="26"/>
      <c r="E169" s="26"/>
      <c r="F169" s="26"/>
      <c r="G169" s="26"/>
      <c r="H169" s="26"/>
    </row>
    <row r="170" spans="1:8" x14ac:dyDescent="0.25">
      <c r="B170" s="26"/>
      <c r="C170" s="26"/>
      <c r="D170" s="26"/>
      <c r="E170" s="26"/>
      <c r="F170" s="26"/>
      <c r="G170" s="26"/>
      <c r="H170" s="26"/>
    </row>
    <row r="171" spans="1:8" x14ac:dyDescent="0.25">
      <c r="A171" s="19"/>
      <c r="B171" s="9"/>
      <c r="C171" s="9"/>
      <c r="D171" s="9"/>
      <c r="E171" s="9"/>
      <c r="F171" s="9"/>
      <c r="G171" s="9"/>
    </row>
    <row r="172" spans="1:8" x14ac:dyDescent="0.25">
      <c r="A172" s="19"/>
      <c r="B172" s="9"/>
      <c r="C172" s="9"/>
      <c r="D172" s="9"/>
      <c r="E172" s="9"/>
      <c r="F172" s="9"/>
      <c r="G172" s="9"/>
    </row>
    <row r="173" spans="1:8" x14ac:dyDescent="0.25">
      <c r="A173" s="19"/>
      <c r="B173" s="9"/>
      <c r="C173" s="9"/>
      <c r="D173" s="9"/>
      <c r="E173" s="9"/>
      <c r="F173" s="9"/>
      <c r="G173" s="9"/>
    </row>
    <row r="174" spans="1:8" x14ac:dyDescent="0.25">
      <c r="A174" s="19"/>
      <c r="B174" s="9"/>
      <c r="C174" s="9"/>
      <c r="D174" s="9"/>
      <c r="E174" s="9"/>
      <c r="F174" s="9"/>
      <c r="G174" s="9"/>
    </row>
    <row r="175" spans="1:8" x14ac:dyDescent="0.25">
      <c r="A175" s="19"/>
      <c r="B175" s="9"/>
      <c r="C175" s="9"/>
      <c r="D175" s="9"/>
      <c r="E175" s="9"/>
      <c r="F175" s="9"/>
      <c r="G175" s="9"/>
    </row>
    <row r="176" spans="1:8" x14ac:dyDescent="0.25">
      <c r="A176" s="12" t="s">
        <v>46</v>
      </c>
      <c r="B176" s="11"/>
      <c r="G176" s="11"/>
      <c r="H176" s="18" t="s">
        <v>49</v>
      </c>
    </row>
    <row r="177" spans="1:8" x14ac:dyDescent="0.25">
      <c r="A177" s="3"/>
      <c r="B177" s="37"/>
      <c r="C177" s="96" t="s">
        <v>59</v>
      </c>
      <c r="D177" s="96"/>
      <c r="E177" s="96"/>
      <c r="F177" s="96"/>
      <c r="G177" s="96"/>
      <c r="H177" s="5" t="s">
        <v>48</v>
      </c>
    </row>
    <row r="178" spans="1:8" x14ac:dyDescent="0.25">
      <c r="A178" s="38" t="s">
        <v>1</v>
      </c>
      <c r="B178" s="80">
        <v>0</v>
      </c>
      <c r="C178" s="81">
        <v>1</v>
      </c>
      <c r="D178" s="82">
        <v>2</v>
      </c>
      <c r="E178" s="82">
        <v>3</v>
      </c>
      <c r="F178" s="82">
        <v>4</v>
      </c>
      <c r="G178" s="82">
        <v>5</v>
      </c>
      <c r="H178" s="83">
        <v>6</v>
      </c>
    </row>
    <row r="179" spans="1:8" x14ac:dyDescent="0.25">
      <c r="A179" s="19" t="s">
        <v>10</v>
      </c>
      <c r="B179" s="48">
        <f>B145/B144</f>
        <v>0.88813936392085102</v>
      </c>
      <c r="C179" s="48">
        <f t="shared" ref="C179:F179" si="39">C145/C144</f>
        <v>0.89183072557011023</v>
      </c>
      <c r="D179" s="48">
        <f t="shared" si="39"/>
        <v>0.8952920832270298</v>
      </c>
      <c r="E179" s="48">
        <f t="shared" si="39"/>
        <v>0.89843971217880947</v>
      </c>
      <c r="F179" s="48">
        <f t="shared" si="39"/>
        <v>0.90153303450653799</v>
      </c>
      <c r="G179" s="48">
        <f>IF(G144=0,0,G145/G144)</f>
        <v>0.90438108484005564</v>
      </c>
      <c r="H179" s="87"/>
    </row>
    <row r="180" spans="1:8" x14ac:dyDescent="0.25">
      <c r="A180" s="19" t="s">
        <v>9</v>
      </c>
      <c r="B180" s="48">
        <f>B80/B144</f>
        <v>0.11186063607914901</v>
      </c>
      <c r="C180" s="48">
        <f t="shared" ref="C180:F180" si="40">C80/C144</f>
        <v>0.10816927442988979</v>
      </c>
      <c r="D180" s="48">
        <f t="shared" si="40"/>
        <v>0.10470791677297016</v>
      </c>
      <c r="E180" s="48">
        <f t="shared" si="40"/>
        <v>0.10156028782119057</v>
      </c>
      <c r="F180" s="48">
        <f t="shared" si="40"/>
        <v>9.8466965493462066E-2</v>
      </c>
      <c r="G180" s="48">
        <f>IF(G144=0,0,G80/G144)</f>
        <v>9.5618915159944362E-2</v>
      </c>
      <c r="H180" s="87"/>
    </row>
    <row r="181" spans="1:8" x14ac:dyDescent="0.25">
      <c r="A181" s="19" t="s">
        <v>50</v>
      </c>
      <c r="B181" s="93"/>
      <c r="C181" s="17">
        <f>C146*B179+(1-$B$6)*$B$8*B180</f>
        <v>9.8657672367050211E-2</v>
      </c>
      <c r="D181" s="17">
        <f t="shared" ref="D181:G181" si="41">D146*C179+(1-$B$6)*$B$8*C180</f>
        <v>9.8701968706841336E-2</v>
      </c>
      <c r="E181" s="17">
        <f t="shared" si="41"/>
        <v>9.8743504998724363E-2</v>
      </c>
      <c r="F181" s="17">
        <f t="shared" si="41"/>
        <v>9.8781276546145713E-2</v>
      </c>
      <c r="G181" s="17">
        <f t="shared" si="41"/>
        <v>9.8818396414078469E-2</v>
      </c>
      <c r="H181" s="17">
        <f>H146*G179+(1-$B$6)*$B$8*G180</f>
        <v>9.8852573018080675E-2</v>
      </c>
    </row>
    <row r="182" spans="1:8" x14ac:dyDescent="0.25">
      <c r="A182" s="19"/>
      <c r="B182" s="39"/>
      <c r="C182" s="16"/>
      <c r="D182" s="16"/>
      <c r="E182" s="16"/>
      <c r="F182" s="16"/>
      <c r="G182" s="16"/>
      <c r="H182" s="8"/>
    </row>
    <row r="183" spans="1:8" x14ac:dyDescent="0.25">
      <c r="A183" s="19" t="s">
        <v>23</v>
      </c>
      <c r="B183" s="35"/>
      <c r="C183" s="4">
        <f>C78</f>
        <v>98</v>
      </c>
      <c r="D183" s="4">
        <f t="shared" ref="D183:H183" si="42">D78</f>
        <v>107</v>
      </c>
      <c r="E183" s="4">
        <f t="shared" si="42"/>
        <v>119</v>
      </c>
      <c r="F183" s="4">
        <f t="shared" si="42"/>
        <v>125.00000000000003</v>
      </c>
      <c r="G183" s="4">
        <f t="shared" si="42"/>
        <v>137</v>
      </c>
      <c r="H183" s="4">
        <f t="shared" si="42"/>
        <v>140.5</v>
      </c>
    </row>
    <row r="184" spans="1:8" x14ac:dyDescent="0.25">
      <c r="A184" s="19" t="str">
        <f>IF($C$4=1,"Value of the Firm (FCFF Method)","Value of Fut Cash Flows (FCFF Met)")</f>
        <v>Value of the Firm (FCFF Method)</v>
      </c>
      <c r="B184" s="95">
        <f t="shared" ref="B184:E184" si="43">(C183+C184)/(1+C181)</f>
        <v>2234.9238191628738</v>
      </c>
      <c r="C184" s="54">
        <f t="shared" si="43"/>
        <v>2357.4162010791611</v>
      </c>
      <c r="D184" s="54">
        <f t="shared" si="43"/>
        <v>2483.097821187077</v>
      </c>
      <c r="E184" s="54">
        <f t="shared" si="43"/>
        <v>2609.2876033057846</v>
      </c>
      <c r="F184" s="54">
        <f>(G183+G184)/(1+G181)</f>
        <v>2742.0363636363631</v>
      </c>
      <c r="G184" s="54">
        <f>IF(H181-B9=0,0,H183/(H181-B9))</f>
        <v>2875.9999999999995</v>
      </c>
      <c r="H184" s="71"/>
    </row>
    <row r="185" spans="1:8" x14ac:dyDescent="0.25">
      <c r="A185" s="53" t="str">
        <f>IF($C$4=1,"- Date 0 Firm Capital","- Date 0 Project Investment")</f>
        <v>- Date 0 Firm Capital</v>
      </c>
      <c r="B185" s="75">
        <f>B5</f>
        <v>800</v>
      </c>
      <c r="C185" s="65"/>
      <c r="D185" s="76"/>
      <c r="E185" s="76"/>
      <c r="F185" s="76"/>
      <c r="G185" s="75"/>
      <c r="H185" s="76"/>
    </row>
    <row r="186" spans="1:8" x14ac:dyDescent="0.25">
      <c r="A186" s="19" t="str">
        <f>IF($C$4=1,"Value Added by Firm (FCFF Method)","NPV of Project (FCFF Method)")</f>
        <v>Value Added by Firm (FCFF Method)</v>
      </c>
      <c r="B186" s="94">
        <f>B184-B185</f>
        <v>1434.9238191628738</v>
      </c>
      <c r="C186" s="4"/>
      <c r="D186" s="4"/>
      <c r="E186" s="4"/>
      <c r="F186" s="4"/>
      <c r="G186" s="35"/>
      <c r="H186" s="4"/>
    </row>
    <row r="187" spans="1:8" x14ac:dyDescent="0.25">
      <c r="B187" s="4"/>
      <c r="C187" s="4"/>
      <c r="D187" s="4"/>
      <c r="E187" s="4"/>
      <c r="F187" s="4"/>
      <c r="G187" s="4"/>
      <c r="H187" s="4"/>
    </row>
    <row r="188" spans="1:8" x14ac:dyDescent="0.25">
      <c r="B188" s="4"/>
      <c r="C188" s="4"/>
      <c r="D188" s="4"/>
      <c r="E188" s="4"/>
      <c r="F188" s="4"/>
      <c r="G188" s="4"/>
      <c r="H188" s="4"/>
    </row>
    <row r="189" spans="1:8" x14ac:dyDescent="0.25">
      <c r="B189" s="4"/>
      <c r="C189" s="4"/>
      <c r="D189" s="4"/>
      <c r="E189" s="4"/>
      <c r="F189" s="4"/>
      <c r="G189" s="4"/>
      <c r="H189" s="4"/>
    </row>
    <row r="190" spans="1:8" x14ac:dyDescent="0.25">
      <c r="B190" s="4"/>
      <c r="C190" s="4"/>
      <c r="D190" s="4"/>
      <c r="E190" s="4"/>
      <c r="F190" s="4"/>
      <c r="G190" s="4"/>
      <c r="H190" s="4"/>
    </row>
    <row r="191" spans="1:8" x14ac:dyDescent="0.25">
      <c r="B191" s="4"/>
      <c r="C191" s="4"/>
      <c r="D191" s="4"/>
      <c r="E191" s="4"/>
      <c r="F191" s="4"/>
      <c r="G191" s="4"/>
      <c r="H191" s="4"/>
    </row>
    <row r="192" spans="1:8" x14ac:dyDescent="0.25">
      <c r="B192" s="4"/>
      <c r="C192" s="4"/>
      <c r="D192" s="4"/>
      <c r="E192" s="4"/>
      <c r="F192" s="4"/>
      <c r="G192" s="4"/>
      <c r="H192" s="4"/>
    </row>
    <row r="193" spans="1:8" x14ac:dyDescent="0.25">
      <c r="B193" s="4"/>
      <c r="C193" s="4"/>
      <c r="D193" s="4"/>
      <c r="E193" s="4"/>
      <c r="F193" s="4"/>
      <c r="G193" s="4"/>
      <c r="H193" s="4"/>
    </row>
    <row r="194" spans="1:8" x14ac:dyDescent="0.25">
      <c r="B194" s="4"/>
      <c r="C194" s="4"/>
      <c r="D194" s="4"/>
      <c r="E194" s="4"/>
      <c r="F194" s="4"/>
      <c r="G194" s="4"/>
      <c r="H194" s="4"/>
    </row>
    <row r="195" spans="1:8" x14ac:dyDescent="0.25">
      <c r="B195" s="4"/>
      <c r="C195" s="4"/>
      <c r="D195" s="4"/>
      <c r="E195" s="4"/>
      <c r="F195" s="4"/>
      <c r="G195" s="4"/>
      <c r="H195" s="4"/>
    </row>
    <row r="196" spans="1:8" x14ac:dyDescent="0.25">
      <c r="B196" s="4"/>
      <c r="C196" s="4"/>
      <c r="D196" s="4"/>
      <c r="E196" s="4"/>
      <c r="F196" s="4"/>
      <c r="G196" s="4"/>
      <c r="H196" s="4"/>
    </row>
    <row r="197" spans="1:8" x14ac:dyDescent="0.25">
      <c r="B197" s="4"/>
      <c r="C197" s="4"/>
      <c r="D197" s="4"/>
      <c r="E197" s="4"/>
      <c r="F197" s="4"/>
      <c r="G197" s="4"/>
      <c r="H197" s="4"/>
    </row>
    <row r="198" spans="1:8" x14ac:dyDescent="0.25">
      <c r="B198" s="4"/>
      <c r="C198" s="4"/>
      <c r="D198" s="4"/>
      <c r="E198" s="4"/>
      <c r="F198" s="4"/>
      <c r="G198" s="4"/>
      <c r="H198" s="4"/>
    </row>
    <row r="199" spans="1:8" x14ac:dyDescent="0.25">
      <c r="B199" s="4"/>
      <c r="C199" s="4"/>
      <c r="D199" s="4"/>
      <c r="E199" s="4"/>
      <c r="F199" s="4"/>
      <c r="G199" s="4"/>
      <c r="H199" s="4"/>
    </row>
    <row r="200" spans="1:8" x14ac:dyDescent="0.25">
      <c r="B200" s="4"/>
      <c r="C200" s="4"/>
      <c r="D200" s="4"/>
      <c r="E200" s="4"/>
      <c r="F200" s="4"/>
      <c r="G200" s="4"/>
      <c r="H200" s="4"/>
    </row>
    <row r="201" spans="1:8" x14ac:dyDescent="0.25">
      <c r="B201" s="4"/>
      <c r="C201" s="4"/>
      <c r="D201" s="4"/>
      <c r="E201" s="4"/>
      <c r="F201" s="4"/>
      <c r="G201" s="4"/>
      <c r="H201" s="4"/>
    </row>
    <row r="202" spans="1:8" x14ac:dyDescent="0.25">
      <c r="B202" s="4"/>
      <c r="C202" s="4"/>
      <c r="D202" s="4"/>
      <c r="E202" s="4"/>
      <c r="F202" s="4"/>
      <c r="G202" s="4"/>
      <c r="H202" s="4"/>
    </row>
    <row r="203" spans="1:8" x14ac:dyDescent="0.25">
      <c r="B203" s="4"/>
      <c r="C203" s="4"/>
      <c r="D203" s="4"/>
      <c r="E203" s="4"/>
      <c r="F203" s="4"/>
      <c r="G203" s="4"/>
      <c r="H203" s="4"/>
    </row>
    <row r="204" spans="1:8" x14ac:dyDescent="0.25">
      <c r="A204" s="12" t="s">
        <v>38</v>
      </c>
      <c r="B204" s="35"/>
      <c r="C204" s="4"/>
      <c r="D204" s="4"/>
      <c r="E204" s="4"/>
      <c r="F204" s="4"/>
      <c r="G204" s="35"/>
      <c r="H204" s="62" t="s">
        <v>49</v>
      </c>
    </row>
    <row r="205" spans="1:8" x14ac:dyDescent="0.25">
      <c r="A205" s="3"/>
      <c r="B205" s="63"/>
      <c r="C205" s="96" t="s">
        <v>59</v>
      </c>
      <c r="D205" s="96"/>
      <c r="E205" s="96"/>
      <c r="F205" s="96"/>
      <c r="G205" s="96"/>
      <c r="H205" s="64" t="s">
        <v>48</v>
      </c>
    </row>
    <row r="206" spans="1:8" x14ac:dyDescent="0.25">
      <c r="A206" s="38" t="s">
        <v>12</v>
      </c>
      <c r="B206" s="80">
        <v>0</v>
      </c>
      <c r="C206" s="81">
        <v>1</v>
      </c>
      <c r="D206" s="82">
        <v>2</v>
      </c>
      <c r="E206" s="82">
        <v>3</v>
      </c>
      <c r="F206" s="82">
        <v>4</v>
      </c>
      <c r="G206" s="82">
        <v>5</v>
      </c>
      <c r="H206" s="83">
        <v>6</v>
      </c>
    </row>
    <row r="207" spans="1:8" x14ac:dyDescent="0.25">
      <c r="A207" s="19" t="s">
        <v>13</v>
      </c>
      <c r="B207" s="49"/>
      <c r="C207" s="22">
        <f>C35</f>
        <v>98.5</v>
      </c>
      <c r="D207" s="22">
        <f t="shared" ref="D207:H207" si="44">D35</f>
        <v>107.41</v>
      </c>
      <c r="E207" s="22">
        <f t="shared" si="44"/>
        <v>119.32</v>
      </c>
      <c r="F207" s="22">
        <f t="shared" si="44"/>
        <v>125.23000000000002</v>
      </c>
      <c r="G207" s="22">
        <f t="shared" si="44"/>
        <v>137.13999999999999</v>
      </c>
      <c r="H207" s="22">
        <f t="shared" si="44"/>
        <v>149.30000000000001</v>
      </c>
    </row>
    <row r="208" spans="1:8" x14ac:dyDescent="0.25">
      <c r="A208" s="19" t="s">
        <v>42</v>
      </c>
      <c r="B208" s="35">
        <f>(C207+C208)/(1+C146)</f>
        <v>1984.9238191628735</v>
      </c>
      <c r="C208" s="35">
        <f t="shared" ref="C208:F208" si="45">(D207+D208)/(1+D146)</f>
        <v>2102.4162010791611</v>
      </c>
      <c r="D208" s="35">
        <f t="shared" si="45"/>
        <v>2223.0978211870774</v>
      </c>
      <c r="E208" s="35">
        <f t="shared" si="45"/>
        <v>2344.2876033057851</v>
      </c>
      <c r="F208" s="35">
        <f t="shared" si="45"/>
        <v>2472.0363636363636</v>
      </c>
      <c r="G208" s="4">
        <f>H207/(H146-B9)</f>
        <v>2601</v>
      </c>
      <c r="H208" s="73"/>
    </row>
    <row r="209" spans="1:8" x14ac:dyDescent="0.25">
      <c r="A209" s="25" t="s">
        <v>43</v>
      </c>
      <c r="B209" s="56">
        <f>B80</f>
        <v>250</v>
      </c>
      <c r="C209" s="56">
        <f t="shared" ref="C209:G209" si="46">C80</f>
        <v>255</v>
      </c>
      <c r="D209" s="56">
        <f t="shared" si="46"/>
        <v>260</v>
      </c>
      <c r="E209" s="56">
        <f t="shared" si="46"/>
        <v>265</v>
      </c>
      <c r="F209" s="56">
        <f t="shared" si="46"/>
        <v>270</v>
      </c>
      <c r="G209" s="56">
        <f t="shared" si="46"/>
        <v>275</v>
      </c>
      <c r="H209" s="72"/>
    </row>
    <row r="210" spans="1:8" x14ac:dyDescent="0.25">
      <c r="A210" s="19" t="str">
        <f>IF($C$4=1,"Value of the Firm (DDM Method)","Value of Fut Cash Flows (DDM Met)")</f>
        <v>Value of the Firm (DDM Method)</v>
      </c>
      <c r="B210" s="2">
        <f>B208+B209</f>
        <v>2234.9238191628738</v>
      </c>
      <c r="C210" s="24"/>
      <c r="D210" s="24"/>
      <c r="E210" s="24"/>
      <c r="F210" s="24"/>
      <c r="G210" s="24"/>
      <c r="H210" s="73"/>
    </row>
    <row r="211" spans="1:8" x14ac:dyDescent="0.25">
      <c r="A211" s="53" t="str">
        <f>IF($C$4=1,"- Date 0 Firm Capital","- Date 0 Project Investment")</f>
        <v>- Date 0 Firm Capital</v>
      </c>
      <c r="B211" s="70">
        <f>$B$5</f>
        <v>800</v>
      </c>
      <c r="C211" s="74"/>
      <c r="D211" s="74"/>
      <c r="E211" s="74"/>
      <c r="F211" s="74"/>
      <c r="G211" s="51"/>
      <c r="H211" s="74"/>
    </row>
    <row r="212" spans="1:8" x14ac:dyDescent="0.25">
      <c r="A212" s="19" t="str">
        <f>IF($C$4=1,"Value Added by Firm (DDM Method)","NPV of Project (DDM Method)")</f>
        <v>Value Added by Firm (DDM Method)</v>
      </c>
      <c r="B212" s="2">
        <f>B210-B211</f>
        <v>1434.9238191628738</v>
      </c>
      <c r="C212" s="24"/>
      <c r="D212" s="24"/>
      <c r="E212" s="24"/>
      <c r="F212" s="24"/>
      <c r="G212" s="23"/>
      <c r="H212" s="24"/>
    </row>
    <row r="213" spans="1:8" x14ac:dyDescent="0.25">
      <c r="B213" s="4"/>
      <c r="C213" s="4"/>
      <c r="D213" s="4"/>
      <c r="E213" s="4"/>
      <c r="F213" s="4"/>
      <c r="G213" s="4"/>
      <c r="H213" s="4"/>
    </row>
    <row r="214" spans="1:8" x14ac:dyDescent="0.25">
      <c r="B214" s="4"/>
      <c r="C214" s="4"/>
      <c r="D214" s="4"/>
      <c r="E214" s="4"/>
      <c r="F214" s="4"/>
      <c r="G214" s="4"/>
      <c r="H214" s="4"/>
    </row>
    <row r="215" spans="1:8" x14ac:dyDescent="0.25">
      <c r="B215" s="4"/>
      <c r="C215" s="4"/>
      <c r="D215" s="4"/>
      <c r="E215" s="4"/>
      <c r="F215" s="4"/>
      <c r="G215" s="4"/>
      <c r="H215" s="4"/>
    </row>
    <row r="216" spans="1:8" x14ac:dyDescent="0.25">
      <c r="B216" s="4"/>
      <c r="C216" s="4"/>
      <c r="D216" s="4"/>
      <c r="E216" s="4"/>
      <c r="F216" s="4"/>
      <c r="G216" s="4"/>
      <c r="H216" s="4"/>
    </row>
    <row r="217" spans="1:8" x14ac:dyDescent="0.25">
      <c r="B217" s="4"/>
      <c r="C217" s="4"/>
      <c r="D217" s="4"/>
      <c r="E217" s="4"/>
      <c r="F217" s="4"/>
      <c r="G217" s="4"/>
      <c r="H217" s="4"/>
    </row>
    <row r="218" spans="1:8" x14ac:dyDescent="0.25">
      <c r="B218" s="4"/>
      <c r="C218" s="4"/>
      <c r="D218" s="4"/>
      <c r="E218" s="4"/>
      <c r="F218" s="4"/>
      <c r="G218" s="4"/>
      <c r="H218" s="4"/>
    </row>
    <row r="219" spans="1:8" x14ac:dyDescent="0.25">
      <c r="B219" s="4"/>
      <c r="C219" s="4"/>
      <c r="D219" s="4"/>
      <c r="E219" s="4"/>
      <c r="F219" s="4"/>
      <c r="G219" s="4"/>
      <c r="H219" s="4"/>
    </row>
    <row r="220" spans="1:8" x14ac:dyDescent="0.25">
      <c r="B220" s="4"/>
      <c r="C220" s="4"/>
      <c r="D220" s="4"/>
      <c r="E220" s="4"/>
      <c r="F220" s="4"/>
      <c r="G220" s="4"/>
      <c r="H220" s="4"/>
    </row>
    <row r="221" spans="1:8" x14ac:dyDescent="0.25">
      <c r="B221" s="4"/>
      <c r="C221" s="4"/>
      <c r="D221" s="4"/>
      <c r="E221" s="4"/>
      <c r="F221" s="4"/>
      <c r="G221" s="4"/>
      <c r="H221" s="4"/>
    </row>
    <row r="222" spans="1:8" x14ac:dyDescent="0.25">
      <c r="B222" s="4"/>
      <c r="C222" s="4"/>
      <c r="D222" s="4"/>
      <c r="E222" s="4"/>
      <c r="F222" s="4"/>
      <c r="G222" s="4"/>
      <c r="H222" s="4"/>
    </row>
    <row r="223" spans="1:8" x14ac:dyDescent="0.25">
      <c r="B223" s="4"/>
      <c r="C223" s="4"/>
      <c r="D223" s="4"/>
      <c r="E223" s="4"/>
      <c r="F223" s="4"/>
      <c r="G223" s="4"/>
      <c r="H223" s="4"/>
    </row>
    <row r="224" spans="1:8" x14ac:dyDescent="0.25">
      <c r="B224" s="4"/>
      <c r="C224" s="4"/>
      <c r="D224" s="4"/>
      <c r="E224" s="4"/>
      <c r="F224" s="4"/>
      <c r="G224" s="4"/>
      <c r="H224" s="4"/>
    </row>
    <row r="225" spans="1:9" x14ac:dyDescent="0.25">
      <c r="B225" s="4"/>
      <c r="C225" s="4"/>
      <c r="D225" s="4"/>
      <c r="E225" s="4"/>
      <c r="F225" s="4"/>
      <c r="G225" s="4"/>
      <c r="H225" s="4"/>
    </row>
    <row r="226" spans="1:9" x14ac:dyDescent="0.25">
      <c r="B226" s="4"/>
      <c r="C226" s="4"/>
      <c r="D226" s="4"/>
      <c r="E226" s="4"/>
      <c r="F226" s="4"/>
      <c r="G226" s="4"/>
      <c r="H226" s="4"/>
    </row>
    <row r="227" spans="1:9" x14ac:dyDescent="0.25">
      <c r="B227" s="4"/>
      <c r="C227" s="4"/>
      <c r="D227" s="4"/>
      <c r="E227" s="4"/>
      <c r="F227" s="4"/>
      <c r="G227" s="4"/>
      <c r="H227" s="4"/>
    </row>
    <row r="228" spans="1:9" x14ac:dyDescent="0.25">
      <c r="A228" s="12" t="s">
        <v>64</v>
      </c>
      <c r="B228" s="35"/>
      <c r="C228" s="4"/>
      <c r="D228" s="4"/>
      <c r="E228" s="4"/>
      <c r="F228" s="4"/>
      <c r="G228" s="35"/>
      <c r="H228" s="62" t="s">
        <v>49</v>
      </c>
    </row>
    <row r="229" spans="1:9" x14ac:dyDescent="0.25">
      <c r="A229" s="3"/>
      <c r="B229" s="63"/>
      <c r="C229" s="96" t="s">
        <v>59</v>
      </c>
      <c r="D229" s="96"/>
      <c r="E229" s="96"/>
      <c r="F229" s="96"/>
      <c r="G229" s="96"/>
      <c r="H229" s="64" t="s">
        <v>48</v>
      </c>
    </row>
    <row r="230" spans="1:9" x14ac:dyDescent="0.25">
      <c r="A230" s="38" t="s">
        <v>12</v>
      </c>
      <c r="B230" s="80">
        <v>0</v>
      </c>
      <c r="C230" s="81">
        <v>1</v>
      </c>
      <c r="D230" s="82">
        <v>2</v>
      </c>
      <c r="E230" s="82">
        <v>3</v>
      </c>
      <c r="F230" s="82">
        <v>4</v>
      </c>
      <c r="G230" s="82">
        <v>5</v>
      </c>
      <c r="H230" s="83">
        <v>6</v>
      </c>
    </row>
    <row r="231" spans="1:9" x14ac:dyDescent="0.25">
      <c r="A231" s="19" t="s">
        <v>52</v>
      </c>
      <c r="B231" s="52"/>
      <c r="C231" s="4">
        <f>C87</f>
        <v>29.073862106359826</v>
      </c>
      <c r="D231" s="4">
        <f t="shared" ref="D231:H231" si="47">D87</f>
        <v>37.051405347458513</v>
      </c>
      <c r="E231" s="4">
        <f t="shared" si="47"/>
        <v>48.030325901046027</v>
      </c>
      <c r="F231" s="4">
        <f t="shared" si="47"/>
        <v>53.011540466699088</v>
      </c>
      <c r="G231" s="4">
        <f t="shared" si="47"/>
        <v>63.992547012174086</v>
      </c>
      <c r="H231" s="4">
        <f t="shared" si="47"/>
        <v>98.975312934631432</v>
      </c>
    </row>
    <row r="232" spans="1:9" x14ac:dyDescent="0.25">
      <c r="A232" s="19" t="s">
        <v>57</v>
      </c>
      <c r="B232" s="35"/>
      <c r="C232" s="4"/>
      <c r="D232" s="4"/>
      <c r="E232" s="4"/>
      <c r="F232" s="4"/>
      <c r="G232" s="35">
        <f>IF(C10=1,0,G28-G81)</f>
        <v>0</v>
      </c>
      <c r="H232" s="4"/>
      <c r="I232" s="19"/>
    </row>
    <row r="233" spans="1:9" x14ac:dyDescent="0.25">
      <c r="A233" s="19" t="s">
        <v>61</v>
      </c>
      <c r="B233" s="4">
        <f t="shared" ref="B233:E233" si="48">(C231+C232+C233)/(1+C181)</f>
        <v>1434.9238191628738</v>
      </c>
      <c r="C233" s="4">
        <f t="shared" si="48"/>
        <v>1547.4162010791611</v>
      </c>
      <c r="D233" s="4">
        <f t="shared" si="48"/>
        <v>1663.0978211870772</v>
      </c>
      <c r="E233" s="4">
        <f t="shared" si="48"/>
        <v>1779.2876033057848</v>
      </c>
      <c r="F233" s="4">
        <f>(G231+G232+G233)/(1+G181)</f>
        <v>1902.0363636363634</v>
      </c>
      <c r="G233" s="35">
        <f>IF(H181-B9=0,0,H231/(H181-B9))</f>
        <v>2025.9999999999998</v>
      </c>
      <c r="H233" s="4"/>
    </row>
    <row r="234" spans="1:9" x14ac:dyDescent="0.25">
      <c r="A234" s="53" t="s">
        <v>55</v>
      </c>
      <c r="B234" s="56">
        <f>B5</f>
        <v>800</v>
      </c>
      <c r="C234" s="71"/>
      <c r="D234" s="54"/>
      <c r="E234" s="54"/>
      <c r="F234" s="54"/>
      <c r="G234" s="56"/>
      <c r="H234" s="54"/>
    </row>
    <row r="235" spans="1:9" x14ac:dyDescent="0.25">
      <c r="A235" s="19" t="str">
        <f>IF($C$4=1,"Value of the Firm (RI Method)","Value of Fut Cash Flows (RI Met)")</f>
        <v>Value of the Firm (RI Method)</v>
      </c>
      <c r="B235" s="2">
        <f>B233+B234</f>
        <v>2234.9238191628738</v>
      </c>
      <c r="C235" s="4"/>
      <c r="D235" s="4"/>
      <c r="E235" s="4"/>
      <c r="F235" s="4"/>
      <c r="G235" s="35"/>
      <c r="H235" s="4"/>
    </row>
    <row r="236" spans="1:9" x14ac:dyDescent="0.25">
      <c r="A236" s="53" t="str">
        <f>IF($C$4=1,"- Date 0 Firm Capital","- Date 0 Project Investment")</f>
        <v>- Date 0 Firm Capital</v>
      </c>
      <c r="B236" s="70">
        <f>B5</f>
        <v>800</v>
      </c>
      <c r="C236" s="71"/>
      <c r="D236" s="54"/>
      <c r="E236" s="54"/>
      <c r="F236" s="54"/>
      <c r="G236" s="56"/>
      <c r="H236" s="54"/>
    </row>
    <row r="237" spans="1:9" x14ac:dyDescent="0.25">
      <c r="A237" s="19" t="str">
        <f>IF($C$4=1,"Value Added by Firm (RI Method)","NPV of Project (RI Method)")</f>
        <v>Value Added by Firm (RI Method)</v>
      </c>
      <c r="B237" s="2">
        <f>B235-B236</f>
        <v>1434.9238191628738</v>
      </c>
      <c r="C237" s="4"/>
      <c r="D237" s="4"/>
      <c r="E237" s="4"/>
      <c r="F237" s="4"/>
      <c r="G237" s="35"/>
      <c r="H237" s="4"/>
    </row>
    <row r="238" spans="1:9" x14ac:dyDescent="0.25">
      <c r="A238" s="19"/>
      <c r="B238" s="4"/>
      <c r="C238" s="4"/>
      <c r="D238" s="4"/>
      <c r="E238" s="4"/>
      <c r="F238" s="4"/>
      <c r="G238" s="4"/>
      <c r="H238" s="4"/>
    </row>
    <row r="239" spans="1:9" x14ac:dyDescent="0.25">
      <c r="A239" s="19"/>
      <c r="B239" s="4"/>
      <c r="C239" s="4"/>
      <c r="D239" s="4"/>
      <c r="E239" s="4"/>
      <c r="F239" s="4"/>
      <c r="G239" s="4"/>
      <c r="H239" s="4"/>
    </row>
    <row r="240" spans="1:9" x14ac:dyDescent="0.25">
      <c r="A240" s="19"/>
      <c r="B240" s="4"/>
      <c r="C240" s="4"/>
      <c r="D240" s="4"/>
      <c r="E240" s="4"/>
      <c r="F240" s="4"/>
      <c r="G240" s="4"/>
      <c r="H240" s="4"/>
    </row>
    <row r="241" spans="1:8" x14ac:dyDescent="0.25">
      <c r="A241" s="19"/>
      <c r="B241" s="4"/>
      <c r="C241" s="4"/>
      <c r="D241" s="4"/>
      <c r="E241" s="4"/>
      <c r="F241" s="4"/>
      <c r="G241" s="4"/>
      <c r="H241" s="4"/>
    </row>
    <row r="242" spans="1:8" x14ac:dyDescent="0.25">
      <c r="A242" s="19"/>
      <c r="B242" s="4"/>
      <c r="C242" s="4"/>
      <c r="D242" s="4"/>
      <c r="E242" s="4"/>
      <c r="F242" s="4"/>
      <c r="G242" s="4"/>
      <c r="H242" s="4"/>
    </row>
    <row r="243" spans="1:8" x14ac:dyDescent="0.25">
      <c r="A243" s="19"/>
      <c r="B243" s="4"/>
      <c r="C243" s="4"/>
      <c r="D243" s="4"/>
      <c r="E243" s="4"/>
      <c r="F243" s="4"/>
      <c r="G243" s="4"/>
      <c r="H243" s="4"/>
    </row>
    <row r="244" spans="1:8" x14ac:dyDescent="0.25">
      <c r="A244" s="19"/>
      <c r="B244" s="4"/>
      <c r="C244" s="4"/>
      <c r="D244" s="4"/>
      <c r="E244" s="4"/>
      <c r="F244" s="4"/>
      <c r="G244" s="4"/>
      <c r="H244" s="4"/>
    </row>
    <row r="245" spans="1:8" x14ac:dyDescent="0.25">
      <c r="A245" s="19"/>
      <c r="B245" s="4"/>
      <c r="C245" s="4"/>
      <c r="D245" s="4"/>
      <c r="E245" s="4"/>
      <c r="F245" s="4"/>
      <c r="G245" s="4"/>
      <c r="H245" s="4"/>
    </row>
  </sheetData>
  <mergeCells count="6">
    <mergeCell ref="C229:G229"/>
    <mergeCell ref="C13:G13"/>
    <mergeCell ref="C205:G205"/>
    <mergeCell ref="C114:G114"/>
    <mergeCell ref="C142:G142"/>
    <mergeCell ref="C177:G177"/>
  </mergeCells>
  <printOptions gridLines="1"/>
  <pageMargins left="0.75" right="0.75" top="1" bottom="1" header="0.5" footer="0.5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22" r:id="rId4" name="Spinner 50">
              <controlPr defaultSize="0" autoPict="0">
                <anchor moveWithCells="1" sizeWithCells="1">
                  <from>
                    <xdr:col>1</xdr:col>
                    <xdr:colOff>15240</xdr:colOff>
                    <xdr:row>79</xdr:row>
                    <xdr:rowOff>22860</xdr:rowOff>
                  </from>
                  <to>
                    <xdr:col>1</xdr:col>
                    <xdr:colOff>182880</xdr:colOff>
                    <xdr:row>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" name="Spinner 53">
              <controlPr defaultSize="0" autoPict="0">
                <anchor moveWithCells="1" sizeWithCells="1">
                  <from>
                    <xdr:col>1</xdr:col>
                    <xdr:colOff>15240</xdr:colOff>
                    <xdr:row>87</xdr:row>
                    <xdr:rowOff>0</xdr:rowOff>
                  </from>
                  <to>
                    <xdr:col>1</xdr:col>
                    <xdr:colOff>152400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6" name="Spinner 54">
              <controlPr defaultSize="0" autoPict="0">
                <anchor moveWithCells="1" sizeWithCells="1">
                  <from>
                    <xdr:col>6</xdr:col>
                    <xdr:colOff>15240</xdr:colOff>
                    <xdr:row>27</xdr:row>
                    <xdr:rowOff>22860</xdr:rowOff>
                  </from>
                  <to>
                    <xdr:col>6</xdr:col>
                    <xdr:colOff>182880</xdr:colOff>
                    <xdr:row>27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7" name="Spinner 80">
              <controlPr defaultSize="0" autoPict="0">
                <anchor moveWithCells="1" sizeWithCells="1">
                  <from>
                    <xdr:col>2</xdr:col>
                    <xdr:colOff>15240</xdr:colOff>
                    <xdr:row>14</xdr:row>
                    <xdr:rowOff>22860</xdr:rowOff>
                  </from>
                  <to>
                    <xdr:col>2</xdr:col>
                    <xdr:colOff>182880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" name="Spinner 81">
              <controlPr defaultSize="0" autoPict="0">
                <anchor moveWithCells="1" sizeWithCells="1">
                  <from>
                    <xdr:col>3</xdr:col>
                    <xdr:colOff>15240</xdr:colOff>
                    <xdr:row>14</xdr:row>
                    <xdr:rowOff>22860</xdr:rowOff>
                  </from>
                  <to>
                    <xdr:col>3</xdr:col>
                    <xdr:colOff>182880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9" name="Spinner 82">
              <controlPr defaultSize="0" autoPict="0">
                <anchor moveWithCells="1" sizeWithCells="1">
                  <from>
                    <xdr:col>4</xdr:col>
                    <xdr:colOff>15240</xdr:colOff>
                    <xdr:row>14</xdr:row>
                    <xdr:rowOff>22860</xdr:rowOff>
                  </from>
                  <to>
                    <xdr:col>4</xdr:col>
                    <xdr:colOff>182880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10" name="Spinner 83">
              <controlPr defaultSize="0" autoPict="0">
                <anchor moveWithCells="1" sizeWithCells="1">
                  <from>
                    <xdr:col>5</xdr:col>
                    <xdr:colOff>15240</xdr:colOff>
                    <xdr:row>14</xdr:row>
                    <xdr:rowOff>22860</xdr:rowOff>
                  </from>
                  <to>
                    <xdr:col>5</xdr:col>
                    <xdr:colOff>182880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11" name="Spinner 84">
              <controlPr defaultSize="0" autoPict="0">
                <anchor moveWithCells="1" sizeWithCells="1">
                  <from>
                    <xdr:col>6</xdr:col>
                    <xdr:colOff>15240</xdr:colOff>
                    <xdr:row>14</xdr:row>
                    <xdr:rowOff>22860</xdr:rowOff>
                  </from>
                  <to>
                    <xdr:col>6</xdr:col>
                    <xdr:colOff>182880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12" name="Spinner 85">
              <controlPr defaultSize="0" autoPict="0">
                <anchor moveWithCells="1" sizeWithCells="1">
                  <from>
                    <xdr:col>7</xdr:col>
                    <xdr:colOff>15240</xdr:colOff>
                    <xdr:row>14</xdr:row>
                    <xdr:rowOff>22860</xdr:rowOff>
                  </from>
                  <to>
                    <xdr:col>7</xdr:col>
                    <xdr:colOff>182880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13" name="Spinner 86">
              <controlPr defaultSize="0" autoPict="0">
                <anchor moveWithCells="1" sizeWithCells="1">
                  <from>
                    <xdr:col>2</xdr:col>
                    <xdr:colOff>15240</xdr:colOff>
                    <xdr:row>15</xdr:row>
                    <xdr:rowOff>22860</xdr:rowOff>
                  </from>
                  <to>
                    <xdr:col>2</xdr:col>
                    <xdr:colOff>182880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14" name="Spinner 87">
              <controlPr defaultSize="0" autoPict="0">
                <anchor moveWithCells="1" sizeWithCells="1">
                  <from>
                    <xdr:col>3</xdr:col>
                    <xdr:colOff>15240</xdr:colOff>
                    <xdr:row>15</xdr:row>
                    <xdr:rowOff>22860</xdr:rowOff>
                  </from>
                  <to>
                    <xdr:col>3</xdr:col>
                    <xdr:colOff>182880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15" name="Spinner 88">
              <controlPr defaultSize="0" autoPict="0">
                <anchor moveWithCells="1" sizeWithCells="1">
                  <from>
                    <xdr:col>4</xdr:col>
                    <xdr:colOff>15240</xdr:colOff>
                    <xdr:row>15</xdr:row>
                    <xdr:rowOff>22860</xdr:rowOff>
                  </from>
                  <to>
                    <xdr:col>4</xdr:col>
                    <xdr:colOff>182880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16" name="Spinner 89">
              <controlPr defaultSize="0" autoPict="0">
                <anchor moveWithCells="1" sizeWithCells="1">
                  <from>
                    <xdr:col>5</xdr:col>
                    <xdr:colOff>15240</xdr:colOff>
                    <xdr:row>15</xdr:row>
                    <xdr:rowOff>22860</xdr:rowOff>
                  </from>
                  <to>
                    <xdr:col>5</xdr:col>
                    <xdr:colOff>182880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17" name="Spinner 90">
              <controlPr defaultSize="0" autoPict="0">
                <anchor moveWithCells="1" sizeWithCells="1">
                  <from>
                    <xdr:col>6</xdr:col>
                    <xdr:colOff>15240</xdr:colOff>
                    <xdr:row>15</xdr:row>
                    <xdr:rowOff>22860</xdr:rowOff>
                  </from>
                  <to>
                    <xdr:col>6</xdr:col>
                    <xdr:colOff>182880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18" name="Spinner 91">
              <controlPr defaultSize="0" autoPict="0">
                <anchor moveWithCells="1" sizeWithCells="1">
                  <from>
                    <xdr:col>7</xdr:col>
                    <xdr:colOff>15240</xdr:colOff>
                    <xdr:row>15</xdr:row>
                    <xdr:rowOff>22860</xdr:rowOff>
                  </from>
                  <to>
                    <xdr:col>7</xdr:col>
                    <xdr:colOff>182880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19" name="Spinner 92">
              <controlPr defaultSize="0" autoPict="0">
                <anchor moveWithCells="1" sizeWithCells="1">
                  <from>
                    <xdr:col>2</xdr:col>
                    <xdr:colOff>15240</xdr:colOff>
                    <xdr:row>17</xdr:row>
                    <xdr:rowOff>22860</xdr:rowOff>
                  </from>
                  <to>
                    <xdr:col>2</xdr:col>
                    <xdr:colOff>182880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20" name="Spinner 93">
              <controlPr defaultSize="0" autoPict="0">
                <anchor moveWithCells="1" sizeWithCells="1">
                  <from>
                    <xdr:col>3</xdr:col>
                    <xdr:colOff>15240</xdr:colOff>
                    <xdr:row>17</xdr:row>
                    <xdr:rowOff>22860</xdr:rowOff>
                  </from>
                  <to>
                    <xdr:col>3</xdr:col>
                    <xdr:colOff>182880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21" name="Spinner 94">
              <controlPr defaultSize="0" autoPict="0">
                <anchor moveWithCells="1" sizeWithCells="1">
                  <from>
                    <xdr:col>4</xdr:col>
                    <xdr:colOff>15240</xdr:colOff>
                    <xdr:row>17</xdr:row>
                    <xdr:rowOff>22860</xdr:rowOff>
                  </from>
                  <to>
                    <xdr:col>4</xdr:col>
                    <xdr:colOff>182880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22" name="Spinner 95">
              <controlPr defaultSize="0" autoPict="0">
                <anchor moveWithCells="1" sizeWithCells="1">
                  <from>
                    <xdr:col>5</xdr:col>
                    <xdr:colOff>15240</xdr:colOff>
                    <xdr:row>17</xdr:row>
                    <xdr:rowOff>22860</xdr:rowOff>
                  </from>
                  <to>
                    <xdr:col>5</xdr:col>
                    <xdr:colOff>182880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23" name="Spinner 96">
              <controlPr defaultSize="0" autoPict="0">
                <anchor moveWithCells="1" sizeWithCells="1">
                  <from>
                    <xdr:col>6</xdr:col>
                    <xdr:colOff>15240</xdr:colOff>
                    <xdr:row>17</xdr:row>
                    <xdr:rowOff>22860</xdr:rowOff>
                  </from>
                  <to>
                    <xdr:col>6</xdr:col>
                    <xdr:colOff>182880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24" name="Spinner 97">
              <controlPr defaultSize="0" autoPict="0">
                <anchor moveWithCells="1" sizeWithCells="1">
                  <from>
                    <xdr:col>7</xdr:col>
                    <xdr:colOff>15240</xdr:colOff>
                    <xdr:row>17</xdr:row>
                    <xdr:rowOff>22860</xdr:rowOff>
                  </from>
                  <to>
                    <xdr:col>7</xdr:col>
                    <xdr:colOff>182880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25" name="Spinner 98">
              <controlPr defaultSize="0" autoPict="0">
                <anchor moveWithCells="1" sizeWithCells="1">
                  <from>
                    <xdr:col>2</xdr:col>
                    <xdr:colOff>15240</xdr:colOff>
                    <xdr:row>26</xdr:row>
                    <xdr:rowOff>22860</xdr:rowOff>
                  </from>
                  <to>
                    <xdr:col>2</xdr:col>
                    <xdr:colOff>182880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26" name="Spinner 99">
              <controlPr defaultSize="0" autoPict="0">
                <anchor moveWithCells="1" sizeWithCells="1">
                  <from>
                    <xdr:col>3</xdr:col>
                    <xdr:colOff>15240</xdr:colOff>
                    <xdr:row>26</xdr:row>
                    <xdr:rowOff>22860</xdr:rowOff>
                  </from>
                  <to>
                    <xdr:col>3</xdr:col>
                    <xdr:colOff>182880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27" name="Spinner 100">
              <controlPr defaultSize="0" autoPict="0">
                <anchor moveWithCells="1" sizeWithCells="1">
                  <from>
                    <xdr:col>4</xdr:col>
                    <xdr:colOff>15240</xdr:colOff>
                    <xdr:row>26</xdr:row>
                    <xdr:rowOff>22860</xdr:rowOff>
                  </from>
                  <to>
                    <xdr:col>4</xdr:col>
                    <xdr:colOff>182880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28" name="Spinner 101">
              <controlPr defaultSize="0" autoPict="0">
                <anchor moveWithCells="1" sizeWithCells="1">
                  <from>
                    <xdr:col>5</xdr:col>
                    <xdr:colOff>15240</xdr:colOff>
                    <xdr:row>26</xdr:row>
                    <xdr:rowOff>22860</xdr:rowOff>
                  </from>
                  <to>
                    <xdr:col>5</xdr:col>
                    <xdr:colOff>182880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29" name="Spinner 102">
              <controlPr defaultSize="0" autoPict="0">
                <anchor moveWithCells="1" sizeWithCells="1">
                  <from>
                    <xdr:col>6</xdr:col>
                    <xdr:colOff>15240</xdr:colOff>
                    <xdr:row>26</xdr:row>
                    <xdr:rowOff>22860</xdr:rowOff>
                  </from>
                  <to>
                    <xdr:col>6</xdr:col>
                    <xdr:colOff>182880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30" name="Spinner 104">
              <controlPr defaultSize="0" autoPict="0">
                <anchor moveWithCells="1" sizeWithCells="1">
                  <from>
                    <xdr:col>2</xdr:col>
                    <xdr:colOff>15240</xdr:colOff>
                    <xdr:row>28</xdr:row>
                    <xdr:rowOff>22860</xdr:rowOff>
                  </from>
                  <to>
                    <xdr:col>2</xdr:col>
                    <xdr:colOff>182880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31" name="Spinner 105">
              <controlPr defaultSize="0" autoPict="0">
                <anchor moveWithCells="1" sizeWithCells="1">
                  <from>
                    <xdr:col>3</xdr:col>
                    <xdr:colOff>15240</xdr:colOff>
                    <xdr:row>28</xdr:row>
                    <xdr:rowOff>22860</xdr:rowOff>
                  </from>
                  <to>
                    <xdr:col>3</xdr:col>
                    <xdr:colOff>182880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32" name="Spinner 106">
              <controlPr defaultSize="0" autoPict="0">
                <anchor moveWithCells="1" sizeWithCells="1">
                  <from>
                    <xdr:col>4</xdr:col>
                    <xdr:colOff>15240</xdr:colOff>
                    <xdr:row>28</xdr:row>
                    <xdr:rowOff>22860</xdr:rowOff>
                  </from>
                  <to>
                    <xdr:col>4</xdr:col>
                    <xdr:colOff>182880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33" name="Spinner 107">
              <controlPr defaultSize="0" autoPict="0">
                <anchor moveWithCells="1" sizeWithCells="1">
                  <from>
                    <xdr:col>5</xdr:col>
                    <xdr:colOff>15240</xdr:colOff>
                    <xdr:row>28</xdr:row>
                    <xdr:rowOff>22860</xdr:rowOff>
                  </from>
                  <to>
                    <xdr:col>5</xdr:col>
                    <xdr:colOff>182880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34" name="Spinner 108">
              <controlPr defaultSize="0" autoPict="0">
                <anchor moveWithCells="1" sizeWithCells="1">
                  <from>
                    <xdr:col>6</xdr:col>
                    <xdr:colOff>15240</xdr:colOff>
                    <xdr:row>28</xdr:row>
                    <xdr:rowOff>22860</xdr:rowOff>
                  </from>
                  <to>
                    <xdr:col>6</xdr:col>
                    <xdr:colOff>182880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35" name="Spinner 109">
              <controlPr defaultSize="0" autoPict="0">
                <anchor moveWithCells="1" sizeWithCells="1">
                  <from>
                    <xdr:col>7</xdr:col>
                    <xdr:colOff>15240</xdr:colOff>
                    <xdr:row>28</xdr:row>
                    <xdr:rowOff>22860</xdr:rowOff>
                  </from>
                  <to>
                    <xdr:col>7</xdr:col>
                    <xdr:colOff>182880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36" name="Spinner 110">
              <controlPr defaultSize="0" autoPict="0">
                <anchor moveWithCells="1" sizeWithCells="1">
                  <from>
                    <xdr:col>2</xdr:col>
                    <xdr:colOff>15240</xdr:colOff>
                    <xdr:row>31</xdr:row>
                    <xdr:rowOff>22860</xdr:rowOff>
                  </from>
                  <to>
                    <xdr:col>2</xdr:col>
                    <xdr:colOff>182880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37" name="Spinner 111">
              <controlPr defaultSize="0" autoPict="0">
                <anchor moveWithCells="1" sizeWithCells="1">
                  <from>
                    <xdr:col>3</xdr:col>
                    <xdr:colOff>15240</xdr:colOff>
                    <xdr:row>31</xdr:row>
                    <xdr:rowOff>22860</xdr:rowOff>
                  </from>
                  <to>
                    <xdr:col>3</xdr:col>
                    <xdr:colOff>182880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38" name="Spinner 112">
              <controlPr defaultSize="0" autoPict="0">
                <anchor moveWithCells="1" sizeWithCells="1">
                  <from>
                    <xdr:col>4</xdr:col>
                    <xdr:colOff>15240</xdr:colOff>
                    <xdr:row>31</xdr:row>
                    <xdr:rowOff>22860</xdr:rowOff>
                  </from>
                  <to>
                    <xdr:col>4</xdr:col>
                    <xdr:colOff>182880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39" name="Spinner 113">
              <controlPr defaultSize="0" autoPict="0">
                <anchor moveWithCells="1" sizeWithCells="1">
                  <from>
                    <xdr:col>5</xdr:col>
                    <xdr:colOff>15240</xdr:colOff>
                    <xdr:row>31</xdr:row>
                    <xdr:rowOff>22860</xdr:rowOff>
                  </from>
                  <to>
                    <xdr:col>5</xdr:col>
                    <xdr:colOff>182880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40" name="Spinner 114">
              <controlPr defaultSize="0" autoPict="0">
                <anchor moveWithCells="1" sizeWithCells="1">
                  <from>
                    <xdr:col>6</xdr:col>
                    <xdr:colOff>15240</xdr:colOff>
                    <xdr:row>31</xdr:row>
                    <xdr:rowOff>22860</xdr:rowOff>
                  </from>
                  <to>
                    <xdr:col>6</xdr:col>
                    <xdr:colOff>182880</xdr:colOff>
                    <xdr:row>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41" name="Option Button 1">
              <controlPr defaultSize="0" autoFill="0" autoLine="0" autoPict="0">
                <anchor moveWithCells="1">
                  <from>
                    <xdr:col>1</xdr:col>
                    <xdr:colOff>15240</xdr:colOff>
                    <xdr:row>3</xdr:row>
                    <xdr:rowOff>137160</xdr:rowOff>
                  </from>
                  <to>
                    <xdr:col>1</xdr:col>
                    <xdr:colOff>441960</xdr:colOff>
                    <xdr:row>3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2" name="Option Button 2">
              <controlPr defaultSize="0" autoFill="0" autoLine="0" autoPict="0">
                <anchor moveWithCells="1">
                  <from>
                    <xdr:col>1</xdr:col>
                    <xdr:colOff>441960</xdr:colOff>
                    <xdr:row>3</xdr:row>
                    <xdr:rowOff>137160</xdr:rowOff>
                  </from>
                  <to>
                    <xdr:col>2</xdr:col>
                    <xdr:colOff>251460</xdr:colOff>
                    <xdr:row>3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43" name="Group Box 3">
              <controlPr defaultSize="0" autoFill="0" autoPict="0">
                <anchor moveWithCells="1">
                  <from>
                    <xdr:col>1</xdr:col>
                    <xdr:colOff>0</xdr:colOff>
                    <xdr:row>3</xdr:row>
                    <xdr:rowOff>53340</xdr:rowOff>
                  </from>
                  <to>
                    <xdr:col>2</xdr:col>
                    <xdr:colOff>259080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44" name="Spinner 52">
              <controlPr defaultSize="0" autoPict="0">
                <anchor moveWithCells="1" sizeWithCells="1">
                  <from>
                    <xdr:col>1</xdr:col>
                    <xdr:colOff>15240</xdr:colOff>
                    <xdr:row>9</xdr:row>
                    <xdr:rowOff>0</xdr:rowOff>
                  </from>
                  <to>
                    <xdr:col>1</xdr:col>
                    <xdr:colOff>182880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45" name="Spinner 61">
              <controlPr defaultSize="0" autoPict="0">
                <anchor moveWithCells="1" sizeWithCells="1">
                  <from>
                    <xdr:col>1</xdr:col>
                    <xdr:colOff>15240</xdr:colOff>
                    <xdr:row>7</xdr:row>
                    <xdr:rowOff>22860</xdr:rowOff>
                  </from>
                  <to>
                    <xdr:col>1</xdr:col>
                    <xdr:colOff>182880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46" name="Spinner 62">
              <controlPr defaultSize="0" autoPict="0">
                <anchor moveWithCells="1" sizeWithCells="1">
                  <from>
                    <xdr:col>1</xdr:col>
                    <xdr:colOff>15240</xdr:colOff>
                    <xdr:row>6</xdr:row>
                    <xdr:rowOff>22860</xdr:rowOff>
                  </from>
                  <to>
                    <xdr:col>1</xdr:col>
                    <xdr:colOff>182880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47" name="Spinner 63">
              <controlPr defaultSize="0" autoPict="0">
                <anchor moveWithCells="1" sizeWithCells="1">
                  <from>
                    <xdr:col>1</xdr:col>
                    <xdr:colOff>15240</xdr:colOff>
                    <xdr:row>5</xdr:row>
                    <xdr:rowOff>22860</xdr:rowOff>
                  </from>
                  <to>
                    <xdr:col>1</xdr:col>
                    <xdr:colOff>182880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48" name="Spinner 64">
              <controlPr defaultSize="0" autoPict="0">
                <anchor moveWithCells="1" sizeWithCells="1">
                  <from>
                    <xdr:col>1</xdr:col>
                    <xdr:colOff>15240</xdr:colOff>
                    <xdr:row>4</xdr:row>
                    <xdr:rowOff>22860</xdr:rowOff>
                  </from>
                  <to>
                    <xdr:col>1</xdr:col>
                    <xdr:colOff>182880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49" name="Spinner 65">
              <controlPr defaultSize="0" autoPict="0">
                <anchor moveWithCells="1" sizeWithCells="1">
                  <from>
                    <xdr:col>1</xdr:col>
                    <xdr:colOff>15240</xdr:colOff>
                    <xdr:row>8</xdr:row>
                    <xdr:rowOff>22860</xdr:rowOff>
                  </from>
                  <to>
                    <xdr:col>1</xdr:col>
                    <xdr:colOff>182880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0" name="Option Button 55">
              <controlPr defaultSize="0" autoFill="0" autoLine="0" autoPict="0">
                <anchor moveWithCells="1">
                  <from>
                    <xdr:col>1</xdr:col>
                    <xdr:colOff>15240</xdr:colOff>
                    <xdr:row>9</xdr:row>
                    <xdr:rowOff>137160</xdr:rowOff>
                  </from>
                  <to>
                    <xdr:col>1</xdr:col>
                    <xdr:colOff>510540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1" name="Option Button 56">
              <controlPr defaultSize="0" autoFill="0" autoLine="0" autoPict="0">
                <anchor moveWithCells="1">
                  <from>
                    <xdr:col>1</xdr:col>
                    <xdr:colOff>510540</xdr:colOff>
                    <xdr:row>9</xdr:row>
                    <xdr:rowOff>137160</xdr:rowOff>
                  </from>
                  <to>
                    <xdr:col>2</xdr:col>
                    <xdr:colOff>205740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2" name="Group Box 57">
              <controlPr defaultSize="0" autoFill="0" autoPict="0">
                <anchor moveWithCells="1">
                  <from>
                    <xdr:col>1</xdr:col>
                    <xdr:colOff>0</xdr:colOff>
                    <xdr:row>9</xdr:row>
                    <xdr:rowOff>53340</xdr:rowOff>
                  </from>
                  <to>
                    <xdr:col>2</xdr:col>
                    <xdr:colOff>213360</xdr:colOff>
                    <xdr:row>10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9.1-9.7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W. Holden</dc:creator>
  <cp:lastModifiedBy>HP</cp:lastModifiedBy>
  <cp:lastPrinted>2025-09-21T15:18:41Z</cp:lastPrinted>
  <dcterms:created xsi:type="dcterms:W3CDTF">1998-07-25T19:32:05Z</dcterms:created>
  <dcterms:modified xsi:type="dcterms:W3CDTF">2026-07-14T12:59:30Z</dcterms:modified>
</cp:coreProperties>
</file>